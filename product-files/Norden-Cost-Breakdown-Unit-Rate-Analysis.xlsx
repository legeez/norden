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esources" sheetId="2" state="visible" r:id="rId4"/>
    <sheet name="Rate Analysis" sheetId="3" state="visible" r:id="rId5"/>
    <sheet name="Unit Ra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<sst xmlns="http://schemas.openxmlformats.org/spreadsheetml/2006/main" count="264" uniqueCount="100">
  <si>
    <t xml:space="preserve">Cost Breakdown &amp; Unit Rate Analysis Workbook</t>
  </si>
  <si>
    <t xml:space="preserve">Norden Trading Plc  |  Build unit rates from material, labour and equipment prices</t>
  </si>
  <si>
    <t xml:space="preserve">HOW TO USE</t>
  </si>
  <si>
    <t xml:space="preserve">1.  'Resources' sheet: update the prices of materials, labour and equipment to today's market prices. The yellow-shaded example prices are ILLUSTRATIONS ONLY — replace every one.</t>
  </si>
  <si>
    <t xml:space="preserve">2.  'Rate Analysis' sheet: each block builds one BOQ item. Set the 'Qty per unit' coefficients to match your mix design / site norms (the sample coefficients are typical starting values, not a standard).</t>
  </si>
  <si>
    <t xml:space="preserve">3.  Overhead % and Profit % are set once at the top of 'Rate Analysis' and apply to every block.</t>
  </si>
  <si>
    <t xml:space="preserve">4.  'Unit Rates' lists the final rate of every block. Copy those rates into your BOQ.</t>
  </si>
  <si>
    <t xml:space="preserve">5.  To add an item: copy a whole block, paste it below the last block, and change the title, unit and resource codes.</t>
  </si>
  <si>
    <t xml:space="preserve">6.  To add a resource: add a new row at the bottom of 'Resources' with a unique code, then use that code in a block.</t>
  </si>
  <si>
    <t xml:space="preserve">COLOUR CODE:  Blue text on a pale-yellow cell = you type here.  Black = formula.</t>
  </si>
  <si>
    <t xml:space="preserve">NOTE: Coefficients, wastage and prices vary by project, specification and supplier. This workbook is a calculation framework — it does not replace professional judgment.</t>
  </si>
  <si>
    <t xml:space="preserve">Resources — Material, Labour &amp; Equipment Prices</t>
  </si>
  <si>
    <t xml:space="preserve">Replace the example prices with current market prices (ETB)</t>
  </si>
  <si>
    <t xml:space="preserve">Code</t>
  </si>
  <si>
    <t xml:space="preserve">Type</t>
  </si>
  <si>
    <t xml:space="preserve">Description</t>
  </si>
  <si>
    <t xml:space="preserve">Unit</t>
  </si>
  <si>
    <t xml:space="preserve">Base price (ETB)</t>
  </si>
  <si>
    <t xml:space="preserve">Wastage %</t>
  </si>
  <si>
    <t xml:space="preserve">Effective price (ETB)</t>
  </si>
  <si>
    <t xml:space="preserve">M-001</t>
  </si>
  <si>
    <t xml:space="preserve">Material</t>
  </si>
  <si>
    <t xml:space="preserve">Cement, 50 kg bag</t>
  </si>
  <si>
    <t xml:space="preserve">bag</t>
  </si>
  <si>
    <t xml:space="preserve">M-002</t>
  </si>
  <si>
    <t xml:space="preserve">Sand (river / washed)</t>
  </si>
  <si>
    <t xml:space="preserve">m3</t>
  </si>
  <si>
    <t xml:space="preserve">M-003</t>
  </si>
  <si>
    <t xml:space="preserve">Coarse aggregate 20 mm</t>
  </si>
  <si>
    <t xml:space="preserve">M-004</t>
  </si>
  <si>
    <t xml:space="preserve">Reinforcement steel bars</t>
  </si>
  <si>
    <t xml:space="preserve">kg</t>
  </si>
  <si>
    <t xml:space="preserve">M-005</t>
  </si>
  <si>
    <t xml:space="preserve">Binding wire</t>
  </si>
  <si>
    <t xml:space="preserve">M-006</t>
  </si>
  <si>
    <t xml:space="preserve">Hollow concrete block 20 cm</t>
  </si>
  <si>
    <t xml:space="preserve">no</t>
  </si>
  <si>
    <t xml:space="preserve">M-007</t>
  </si>
  <si>
    <t xml:space="preserve">Timber for formwork (use-adjusted)</t>
  </si>
  <si>
    <t xml:space="preserve">m2</t>
  </si>
  <si>
    <t xml:space="preserve">M-008</t>
  </si>
  <si>
    <t xml:space="preserve">Ceramic floor tile</t>
  </si>
  <si>
    <t xml:space="preserve">M-009</t>
  </si>
  <si>
    <t xml:space="preserve">Tile adhesive, 25 kg bag</t>
  </si>
  <si>
    <t xml:space="preserve">M-010</t>
  </si>
  <si>
    <t xml:space="preserve">Emulsion paint, 20 L</t>
  </si>
  <si>
    <t xml:space="preserve">L</t>
  </si>
  <si>
    <t xml:space="preserve">M-011</t>
  </si>
  <si>
    <t xml:space="preserve">Plaster primer / sealer</t>
  </si>
  <si>
    <t xml:space="preserve">M-012</t>
  </si>
  <si>
    <t xml:space="preserve">Water</t>
  </si>
  <si>
    <t xml:space="preserve">L-001</t>
  </si>
  <si>
    <t xml:space="preserve">Labour</t>
  </si>
  <si>
    <t xml:space="preserve">Foreman</t>
  </si>
  <si>
    <t xml:space="preserve">day</t>
  </si>
  <si>
    <t xml:space="preserve">L-002</t>
  </si>
  <si>
    <t xml:space="preserve">Mason</t>
  </si>
  <si>
    <t xml:space="preserve">L-003</t>
  </si>
  <si>
    <t xml:space="preserve">Carpenter</t>
  </si>
  <si>
    <t xml:space="preserve">L-004</t>
  </si>
  <si>
    <t xml:space="preserve">Steel fixer</t>
  </si>
  <si>
    <t xml:space="preserve">L-005</t>
  </si>
  <si>
    <t xml:space="preserve">Painter</t>
  </si>
  <si>
    <t xml:space="preserve">L-006</t>
  </si>
  <si>
    <t xml:space="preserve">Tiler</t>
  </si>
  <si>
    <t xml:space="preserve">L-007</t>
  </si>
  <si>
    <t xml:space="preserve">Unskilled labourer</t>
  </si>
  <si>
    <t xml:space="preserve">E-001</t>
  </si>
  <si>
    <t xml:space="preserve">Equipment</t>
  </si>
  <si>
    <t xml:space="preserve">Concrete mixer (hire)</t>
  </si>
  <si>
    <t xml:space="preserve">hr</t>
  </si>
  <si>
    <t xml:space="preserve">E-002</t>
  </si>
  <si>
    <t xml:space="preserve">Poker vibrator (hire)</t>
  </si>
  <si>
    <t xml:space="preserve">E-003</t>
  </si>
  <si>
    <t xml:space="preserve">Scaffolding (hire)</t>
  </si>
  <si>
    <t xml:space="preserve">m2/day</t>
  </si>
  <si>
    <t xml:space="preserve">Unit Rate Analysis</t>
  </si>
  <si>
    <t xml:space="preserve">Qty per unit = how much of the resource is needed to produce ONE unit of the item</t>
  </si>
  <si>
    <t xml:space="preserve">Overhead %</t>
  </si>
  <si>
    <t xml:space="preserve">Overhead and profit are applied to the direct cost of every block below.</t>
  </si>
  <si>
    <t xml:space="preserve">Profit %</t>
  </si>
  <si>
    <t xml:space="preserve">A. Concrete C-25, mixed on site and placed</t>
  </si>
  <si>
    <t xml:space="preserve">Unit:</t>
  </si>
  <si>
    <t xml:space="preserve">Qty per unit</t>
  </si>
  <si>
    <t xml:space="preserve">Rate (ETB)</t>
  </si>
  <si>
    <t xml:space="preserve">Amount (ETB)</t>
  </si>
  <si>
    <t xml:space="preserve">Direct cost</t>
  </si>
  <si>
    <t xml:space="preserve">Overhead</t>
  </si>
  <si>
    <t xml:space="preserve">Profit</t>
  </si>
  <si>
    <t xml:space="preserve">UNIT RATE</t>
  </si>
  <si>
    <t xml:space="preserve">B. Reinforcement steel, supply, cut, bend and fix</t>
  </si>
  <si>
    <t xml:space="preserve">C. Formwork to columns, beams and slabs (contact area)</t>
  </si>
  <si>
    <t xml:space="preserve">D. 20 cm hollow concrete block walling</t>
  </si>
  <si>
    <t xml:space="preserve">E. Cement sand plaster, 2 coats, internal</t>
  </si>
  <si>
    <t xml:space="preserve">F. Ceramic floor tiling including adhesive</t>
  </si>
  <si>
    <t xml:space="preserve">G. Emulsion paint, 3 coats, internal</t>
  </si>
  <si>
    <t xml:space="preserve">Unit Rates Summary</t>
  </si>
  <si>
    <t xml:space="preserve">Copy these rates into the Rate column of your BOQ</t>
  </si>
  <si>
    <t xml:space="preserve">Item</t>
  </si>
  <si>
    <t xml:space="preserve">Unit rate (ETB)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</si>
</sst>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\(#,##0.00\);\-"/>
    <numFmt numFmtId="166" formatCode="0.0%"/>
    <numFmt numFmtId="167" formatCode="#,##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41C2E"/>
      <name val="Arial"/>
      <family val="0"/>
      <charset val="1"/>
    </font>
    <font>
      <i val="true"/>
      <sz val="9"/>
      <color rgb="FF5F6B7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5A1F"/>
      <name val="Arial"/>
      <family val="0"/>
      <charset val="1"/>
    </font>
    <font>
      <b val="true"/>
      <sz val="11"/>
      <color rgb="FFFF5A1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41C2E"/>
        <bgColor rgb="FF003300"/>
      </patternFill>
    </fill>
    <fill>
      <patternFill patternType="solid">
        <fgColor rgb="FFFFF2B3"/>
        <bgColor rgb="FFFFF9E5"/>
      </patternFill>
    </fill>
    <fill>
      <patternFill patternType="solid">
        <fgColor rgb="FFFFF9E5"/>
        <bgColor rgb="FFFFFFFF"/>
      </patternFill>
    </fill>
    <fill>
      <patternFill patternType="solid">
        <fgColor rgb="FFDFE2DB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4CC"/>
      </left>
      <right style="thin">
        <color rgb="FFBFC4CC"/>
      </right>
      <top style="thin">
        <color rgb="FFBFC4CC"/>
      </top>
      <bottom style="thin">
        <color rgb="FFBFC4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4CC"/>
      <rgbColor rgb="FF808080"/>
      <rgbColor rgb="FF9999FF"/>
      <rgbColor rgb="FF993366"/>
      <rgbColor rgb="FFFFF9E5"/>
      <rgbColor rgb="FFCCFFFF"/>
      <rgbColor rgb="FF660066"/>
      <rgbColor rgb="FFFF8080"/>
      <rgbColor rgb="FF0066CC"/>
      <rgbColor rgb="FFDFE2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B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5A1F"/>
      <rgbColor rgb="FF5F6B7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1C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5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</row>
    <row r="6" customFormat="false" ht="23.8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/>
    </row>
    <row r="14" customFormat="false" ht="23.85" hidden="false" customHeight="false" outlineLevel="0" collapsed="false">
      <c r="A14" s="4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20"/>
  </cols>
  <sheetData>
    <row r="1" customFormat="false" ht="18.55" hidden="false" customHeight="false" outlineLevel="0" collapsed="false">
      <c r="A1" s="1" t="s">
        <v>11</v>
      </c>
    </row>
    <row r="2" customFormat="false" ht="15" hidden="false" customHeight="false" outlineLevel="0" collapsed="false">
      <c r="A2" s="2" t="s">
        <v>12</v>
      </c>
    </row>
    <row r="4" customFormat="false" ht="25.5" hidden="false" customHeight="true" outlineLevel="0" collapsed="false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19</v>
      </c>
    </row>
    <row r="5" customFormat="false" ht="15" hidden="false" customHeight="false" outlineLevel="0" collapsed="false">
      <c r="A5" s="6" t="s">
        <v>20</v>
      </c>
      <c r="B5" s="6" t="s">
        <v>21</v>
      </c>
      <c r="C5" s="6" t="s">
        <v>22</v>
      </c>
      <c r="D5" s="6" t="s">
        <v>23</v>
      </c>
      <c r="E5" s="7" t="n">
        <v>950</v>
      </c>
      <c r="F5" s="8" t="n">
        <v>0.03</v>
      </c>
      <c r="G5" s="9" t="n">
        <f aca="false">E5*(1+F5)</f>
        <v>978.5</v>
      </c>
    </row>
    <row r="6" customFormat="false" ht="15" hidden="false" customHeight="false" outlineLevel="0" collapsed="false">
      <c r="A6" s="6" t="s">
        <v>24</v>
      </c>
      <c r="B6" s="6" t="s">
        <v>21</v>
      </c>
      <c r="C6" s="6" t="s">
        <v>25</v>
      </c>
      <c r="D6" s="6" t="s">
        <v>26</v>
      </c>
      <c r="E6" s="7" t="n">
        <v>2200</v>
      </c>
      <c r="F6" s="8" t="n">
        <v>0.05</v>
      </c>
      <c r="G6" s="9" t="n">
        <f aca="false">E6*(1+F6)</f>
        <v>2310</v>
      </c>
    </row>
    <row r="7" customFormat="false" ht="15" hidden="false" customHeight="false" outlineLevel="0" collapsed="false">
      <c r="A7" s="6" t="s">
        <v>27</v>
      </c>
      <c r="B7" s="6" t="s">
        <v>21</v>
      </c>
      <c r="C7" s="6" t="s">
        <v>28</v>
      </c>
      <c r="D7" s="6" t="s">
        <v>26</v>
      </c>
      <c r="E7" s="7" t="n">
        <v>2600</v>
      </c>
      <c r="F7" s="8" t="n">
        <v>0.05</v>
      </c>
      <c r="G7" s="9" t="n">
        <f aca="false">E7*(1+F7)</f>
        <v>2730</v>
      </c>
    </row>
    <row r="8" customFormat="false" ht="15" hidden="false" customHeight="false" outlineLevel="0" collapsed="false">
      <c r="A8" s="6" t="s">
        <v>29</v>
      </c>
      <c r="B8" s="6" t="s">
        <v>21</v>
      </c>
      <c r="C8" s="6" t="s">
        <v>30</v>
      </c>
      <c r="D8" s="6" t="s">
        <v>31</v>
      </c>
      <c r="E8" s="7" t="n">
        <v>95</v>
      </c>
      <c r="F8" s="8" t="n">
        <v>0.05</v>
      </c>
      <c r="G8" s="9" t="n">
        <f aca="false">E8*(1+F8)</f>
        <v>99.75</v>
      </c>
    </row>
    <row r="9" customFormat="false" ht="15" hidden="false" customHeight="false" outlineLevel="0" collapsed="false">
      <c r="A9" s="6" t="s">
        <v>32</v>
      </c>
      <c r="B9" s="6" t="s">
        <v>21</v>
      </c>
      <c r="C9" s="6" t="s">
        <v>33</v>
      </c>
      <c r="D9" s="6" t="s">
        <v>31</v>
      </c>
      <c r="E9" s="7" t="n">
        <v>110</v>
      </c>
      <c r="F9" s="8" t="n">
        <v>0.05</v>
      </c>
      <c r="G9" s="9" t="n">
        <f aca="false">E9*(1+F9)</f>
        <v>115.5</v>
      </c>
    </row>
    <row r="10" customFormat="false" ht="15" hidden="false" customHeight="false" outlineLevel="0" collapsed="false">
      <c r="A10" s="6" t="s">
        <v>34</v>
      </c>
      <c r="B10" s="6" t="s">
        <v>21</v>
      </c>
      <c r="C10" s="6" t="s">
        <v>35</v>
      </c>
      <c r="D10" s="6" t="s">
        <v>36</v>
      </c>
      <c r="E10" s="7" t="n">
        <v>38</v>
      </c>
      <c r="F10" s="8" t="n">
        <v>0.03</v>
      </c>
      <c r="G10" s="9" t="n">
        <f aca="false">E10*(1+F10)</f>
        <v>39.14</v>
      </c>
    </row>
    <row r="11" customFormat="false" ht="15" hidden="false" customHeight="false" outlineLevel="0" collapsed="false">
      <c r="A11" s="6" t="s">
        <v>37</v>
      </c>
      <c r="B11" s="6" t="s">
        <v>21</v>
      </c>
      <c r="C11" s="6" t="s">
        <v>38</v>
      </c>
      <c r="D11" s="6" t="s">
        <v>39</v>
      </c>
      <c r="E11" s="7" t="n">
        <v>350</v>
      </c>
      <c r="F11" s="8" t="n">
        <v>0</v>
      </c>
      <c r="G11" s="9" t="n">
        <f aca="false">E11*(1+F11)</f>
        <v>350</v>
      </c>
    </row>
    <row r="12" customFormat="false" ht="15" hidden="false" customHeight="false" outlineLevel="0" collapsed="false">
      <c r="A12" s="6" t="s">
        <v>40</v>
      </c>
      <c r="B12" s="6" t="s">
        <v>21</v>
      </c>
      <c r="C12" s="6" t="s">
        <v>41</v>
      </c>
      <c r="D12" s="6" t="s">
        <v>39</v>
      </c>
      <c r="E12" s="7" t="n">
        <v>850</v>
      </c>
      <c r="F12" s="8" t="n">
        <v>0.07</v>
      </c>
      <c r="G12" s="9" t="n">
        <f aca="false">E12*(1+F12)</f>
        <v>909.5</v>
      </c>
    </row>
    <row r="13" customFormat="false" ht="15" hidden="false" customHeight="false" outlineLevel="0" collapsed="false">
      <c r="A13" s="6" t="s">
        <v>42</v>
      </c>
      <c r="B13" s="6" t="s">
        <v>21</v>
      </c>
      <c r="C13" s="6" t="s">
        <v>43</v>
      </c>
      <c r="D13" s="6" t="s">
        <v>23</v>
      </c>
      <c r="E13" s="7" t="n">
        <v>420</v>
      </c>
      <c r="F13" s="8" t="n">
        <v>0.03</v>
      </c>
      <c r="G13" s="9" t="n">
        <f aca="false">E13*(1+F13)</f>
        <v>432.6</v>
      </c>
    </row>
    <row r="14" customFormat="false" ht="15" hidden="false" customHeight="false" outlineLevel="0" collapsed="false">
      <c r="A14" s="6" t="s">
        <v>44</v>
      </c>
      <c r="B14" s="6" t="s">
        <v>21</v>
      </c>
      <c r="C14" s="6" t="s">
        <v>45</v>
      </c>
      <c r="D14" s="6" t="s">
        <v>46</v>
      </c>
      <c r="E14" s="7" t="n">
        <v>4800</v>
      </c>
      <c r="F14" s="8" t="n">
        <v>0.05</v>
      </c>
      <c r="G14" s="9" t="n">
        <f aca="false">E14*(1+F14)</f>
        <v>5040</v>
      </c>
    </row>
    <row r="15" customFormat="false" ht="15" hidden="false" customHeight="false" outlineLevel="0" collapsed="false">
      <c r="A15" s="6" t="s">
        <v>47</v>
      </c>
      <c r="B15" s="6" t="s">
        <v>21</v>
      </c>
      <c r="C15" s="6" t="s">
        <v>48</v>
      </c>
      <c r="D15" s="6" t="s">
        <v>46</v>
      </c>
      <c r="E15" s="7" t="n">
        <v>3200</v>
      </c>
      <c r="F15" s="8" t="n">
        <v>0.05</v>
      </c>
      <c r="G15" s="9" t="n">
        <f aca="false">E15*(1+F15)</f>
        <v>3360</v>
      </c>
    </row>
    <row r="16" customFormat="false" ht="15" hidden="false" customHeight="false" outlineLevel="0" collapsed="false">
      <c r="A16" s="6" t="s">
        <v>49</v>
      </c>
      <c r="B16" s="6" t="s">
        <v>21</v>
      </c>
      <c r="C16" s="6" t="s">
        <v>50</v>
      </c>
      <c r="D16" s="6" t="s">
        <v>26</v>
      </c>
      <c r="E16" s="7" t="n">
        <v>120</v>
      </c>
      <c r="F16" s="8" t="n">
        <v>0</v>
      </c>
      <c r="G16" s="9" t="n">
        <f aca="false">E16*(1+F16)</f>
        <v>120</v>
      </c>
    </row>
    <row r="17" customFormat="false" ht="15" hidden="false" customHeight="false" outlineLevel="0" collapsed="false">
      <c r="A17" s="6" t="s">
        <v>51</v>
      </c>
      <c r="B17" s="6" t="s">
        <v>52</v>
      </c>
      <c r="C17" s="6" t="s">
        <v>53</v>
      </c>
      <c r="D17" s="6" t="s">
        <v>54</v>
      </c>
      <c r="E17" s="7" t="n">
        <v>900</v>
      </c>
      <c r="F17" s="8" t="n">
        <v>0</v>
      </c>
      <c r="G17" s="9" t="n">
        <f aca="false">E17*(1+F17)</f>
        <v>900</v>
      </c>
    </row>
    <row r="18" customFormat="false" ht="15" hidden="false" customHeight="false" outlineLevel="0" collapsed="false">
      <c r="A18" s="6" t="s">
        <v>55</v>
      </c>
      <c r="B18" s="6" t="s">
        <v>52</v>
      </c>
      <c r="C18" s="6" t="s">
        <v>56</v>
      </c>
      <c r="D18" s="6" t="s">
        <v>54</v>
      </c>
      <c r="E18" s="7" t="n">
        <v>800</v>
      </c>
      <c r="F18" s="8" t="n">
        <v>0</v>
      </c>
      <c r="G18" s="9" t="n">
        <f aca="false">E18*(1+F18)</f>
        <v>800</v>
      </c>
    </row>
    <row r="19" customFormat="false" ht="15" hidden="false" customHeight="false" outlineLevel="0" collapsed="false">
      <c r="A19" s="6" t="s">
        <v>57</v>
      </c>
      <c r="B19" s="6" t="s">
        <v>52</v>
      </c>
      <c r="C19" s="6" t="s">
        <v>58</v>
      </c>
      <c r="D19" s="6" t="s">
        <v>54</v>
      </c>
      <c r="E19" s="7" t="n">
        <v>800</v>
      </c>
      <c r="F19" s="8" t="n">
        <v>0</v>
      </c>
      <c r="G19" s="9" t="n">
        <f aca="false">E19*(1+F19)</f>
        <v>800</v>
      </c>
    </row>
    <row r="20" customFormat="false" ht="15" hidden="false" customHeight="false" outlineLevel="0" collapsed="false">
      <c r="A20" s="6" t="s">
        <v>59</v>
      </c>
      <c r="B20" s="6" t="s">
        <v>52</v>
      </c>
      <c r="C20" s="6" t="s">
        <v>60</v>
      </c>
      <c r="D20" s="6" t="s">
        <v>54</v>
      </c>
      <c r="E20" s="7" t="n">
        <v>750</v>
      </c>
      <c r="F20" s="8" t="n">
        <v>0</v>
      </c>
      <c r="G20" s="9" t="n">
        <f aca="false">E20*(1+F20)</f>
        <v>750</v>
      </c>
    </row>
    <row r="21" customFormat="false" ht="15" hidden="false" customHeight="false" outlineLevel="0" collapsed="false">
      <c r="A21" s="6" t="s">
        <v>61</v>
      </c>
      <c r="B21" s="6" t="s">
        <v>52</v>
      </c>
      <c r="C21" s="6" t="s">
        <v>62</v>
      </c>
      <c r="D21" s="6" t="s">
        <v>54</v>
      </c>
      <c r="E21" s="7" t="n">
        <v>700</v>
      </c>
      <c r="F21" s="8" t="n">
        <v>0</v>
      </c>
      <c r="G21" s="9" t="n">
        <f aca="false">E21*(1+F21)</f>
        <v>700</v>
      </c>
    </row>
    <row r="22" customFormat="false" ht="15" hidden="false" customHeight="false" outlineLevel="0" collapsed="false">
      <c r="A22" s="6" t="s">
        <v>63</v>
      </c>
      <c r="B22" s="6" t="s">
        <v>52</v>
      </c>
      <c r="C22" s="6" t="s">
        <v>64</v>
      </c>
      <c r="D22" s="6" t="s">
        <v>54</v>
      </c>
      <c r="E22" s="7" t="n">
        <v>800</v>
      </c>
      <c r="F22" s="8" t="n">
        <v>0</v>
      </c>
      <c r="G22" s="9" t="n">
        <f aca="false">E22*(1+F22)</f>
        <v>800</v>
      </c>
    </row>
    <row r="23" customFormat="false" ht="15" hidden="false" customHeight="false" outlineLevel="0" collapsed="false">
      <c r="A23" s="6" t="s">
        <v>65</v>
      </c>
      <c r="B23" s="6" t="s">
        <v>52</v>
      </c>
      <c r="C23" s="6" t="s">
        <v>66</v>
      </c>
      <c r="D23" s="6" t="s">
        <v>54</v>
      </c>
      <c r="E23" s="7" t="n">
        <v>450</v>
      </c>
      <c r="F23" s="8" t="n">
        <v>0</v>
      </c>
      <c r="G23" s="9" t="n">
        <f aca="false">E23*(1+F23)</f>
        <v>450</v>
      </c>
    </row>
    <row r="24" customFormat="false" ht="15" hidden="false" customHeight="false" outlineLevel="0" collapsed="false">
      <c r="A24" s="6" t="s">
        <v>67</v>
      </c>
      <c r="B24" s="6" t="s">
        <v>68</v>
      </c>
      <c r="C24" s="6" t="s">
        <v>69</v>
      </c>
      <c r="D24" s="6" t="s">
        <v>70</v>
      </c>
      <c r="E24" s="7" t="n">
        <v>350</v>
      </c>
      <c r="F24" s="8" t="n">
        <v>0</v>
      </c>
      <c r="G24" s="9" t="n">
        <f aca="false">E24*(1+F24)</f>
        <v>350</v>
      </c>
    </row>
    <row r="25" customFormat="false" ht="15" hidden="false" customHeight="false" outlineLevel="0" collapsed="false">
      <c r="A25" s="6" t="s">
        <v>71</v>
      </c>
      <c r="B25" s="6" t="s">
        <v>68</v>
      </c>
      <c r="C25" s="6" t="s">
        <v>72</v>
      </c>
      <c r="D25" s="6" t="s">
        <v>70</v>
      </c>
      <c r="E25" s="7" t="n">
        <v>200</v>
      </c>
      <c r="F25" s="8" t="n">
        <v>0</v>
      </c>
      <c r="G25" s="9" t="n">
        <f aca="false">E25*(1+F25)</f>
        <v>200</v>
      </c>
    </row>
    <row r="26" customFormat="false" ht="15" hidden="false" customHeight="false" outlineLevel="0" collapsed="false">
      <c r="A26" s="6" t="s">
        <v>73</v>
      </c>
      <c r="B26" s="6" t="s">
        <v>68</v>
      </c>
      <c r="C26" s="6" t="s">
        <v>74</v>
      </c>
      <c r="D26" s="6" t="s">
        <v>75</v>
      </c>
      <c r="E26" s="7" t="n">
        <v>15</v>
      </c>
      <c r="F26" s="8" t="n">
        <v>0</v>
      </c>
      <c r="G26" s="9" t="n">
        <f aca="false">E26*(1+F26)</f>
        <v>15</v>
      </c>
    </row>
    <row r="27" customFormat="false" ht="15" hidden="false" customHeight="false" outlineLevel="0" collapsed="false">
      <c r="A27" s="10"/>
      <c r="B27" s="10"/>
      <c r="C27" s="10"/>
      <c r="D27" s="10"/>
      <c r="E27" s="11"/>
      <c r="F27" s="8"/>
      <c r="G27" s="9" t="str">
        <f aca="false">IF(E27="","",E27*(1+F27))</f>
        <v/>
      </c>
    </row>
    <row r="28" customFormat="false" ht="15" hidden="false" customHeight="false" outlineLevel="0" collapsed="false">
      <c r="A28" s="10"/>
      <c r="B28" s="10"/>
      <c r="C28" s="10"/>
      <c r="D28" s="10"/>
      <c r="E28" s="11"/>
      <c r="F28" s="8"/>
      <c r="G28" s="9" t="str">
        <f aca="false">IF(E28="","",E28*(1+F28))</f>
        <v/>
      </c>
    </row>
    <row r="29" customFormat="false" ht="15" hidden="false" customHeight="false" outlineLevel="0" collapsed="false">
      <c r="A29" s="10"/>
      <c r="B29" s="10"/>
      <c r="C29" s="10"/>
      <c r="D29" s="10"/>
      <c r="E29" s="11"/>
      <c r="F29" s="8"/>
      <c r="G29" s="9" t="str">
        <f aca="false">IF(E29="","",E29*(1+F29))</f>
        <v/>
      </c>
    </row>
    <row r="30" customFormat="false" ht="15" hidden="false" customHeight="false" outlineLevel="0" collapsed="false">
      <c r="A30" s="10"/>
      <c r="B30" s="10"/>
      <c r="C30" s="10"/>
      <c r="D30" s="10"/>
      <c r="E30" s="11"/>
      <c r="F30" s="8"/>
      <c r="G30" s="9" t="str">
        <f aca="false">IF(E30="","",E30*(1+F30))</f>
        <v/>
      </c>
    </row>
    <row r="31" customFormat="false" ht="15" hidden="false" customHeight="false" outlineLevel="0" collapsed="false">
      <c r="A31" s="10"/>
      <c r="B31" s="10"/>
      <c r="C31" s="10"/>
      <c r="D31" s="10"/>
      <c r="E31" s="11"/>
      <c r="F31" s="8"/>
      <c r="G31" s="9" t="str">
        <f aca="false">IF(E31="","",E31*(1+F31))</f>
        <v/>
      </c>
    </row>
    <row r="32" customFormat="false" ht="15" hidden="false" customHeight="false" outlineLevel="0" collapsed="false">
      <c r="A32" s="10"/>
      <c r="B32" s="10"/>
      <c r="C32" s="10"/>
      <c r="D32" s="10"/>
      <c r="E32" s="11"/>
      <c r="F32" s="8"/>
      <c r="G32" s="9" t="str">
        <f aca="false">IF(E32="","",E32*(1+F32))</f>
        <v/>
      </c>
    </row>
    <row r="33" customFormat="false" ht="15" hidden="false" customHeight="false" outlineLevel="0" collapsed="false">
      <c r="A33" s="10"/>
      <c r="B33" s="10"/>
      <c r="C33" s="10"/>
      <c r="D33" s="10"/>
      <c r="E33" s="11"/>
      <c r="F33" s="8"/>
      <c r="G33" s="9" t="str">
        <f aca="false">IF(E33="","",E33*(1+F33))</f>
        <v/>
      </c>
    </row>
    <row r="34" customFormat="false" ht="15" hidden="false" customHeight="false" outlineLevel="0" collapsed="false">
      <c r="A34" s="10"/>
      <c r="B34" s="10"/>
      <c r="C34" s="10"/>
      <c r="D34" s="10"/>
      <c r="E34" s="11"/>
      <c r="F34" s="8"/>
      <c r="G34" s="9" t="str">
        <f aca="false">IF(E34="","",E34*(1+F34))</f>
        <v/>
      </c>
    </row>
    <row r="35" customFormat="false" ht="15" hidden="false" customHeight="false" outlineLevel="0" collapsed="false">
      <c r="A35" s="10"/>
      <c r="B35" s="10"/>
      <c r="C35" s="10"/>
      <c r="D35" s="10"/>
      <c r="E35" s="11"/>
      <c r="F35" s="8"/>
      <c r="G35" s="9" t="str">
        <f aca="false">IF(E35="","",E35*(1+F35))</f>
        <v/>
      </c>
    </row>
    <row r="36" customFormat="false" ht="15" hidden="false" customHeight="false" outlineLevel="0" collapsed="false">
      <c r="A36" s="10"/>
      <c r="B36" s="10"/>
      <c r="C36" s="10"/>
      <c r="D36" s="10"/>
      <c r="E36" s="11"/>
      <c r="F36" s="8"/>
      <c r="G36" s="9" t="str">
        <f aca="false">IF(E36="","",E36*(1+F36))</f>
        <v/>
      </c>
    </row>
    <row r="37" customFormat="false" ht="15" hidden="false" customHeight="false" outlineLevel="0" collapsed="false">
      <c r="A37" s="10"/>
      <c r="B37" s="10"/>
      <c r="C37" s="10"/>
      <c r="D37" s="10"/>
      <c r="E37" s="11"/>
      <c r="F37" s="8"/>
      <c r="G37" s="9" t="str">
        <f aca="false">IF(E37="","",E37*(1+F37))</f>
        <v/>
      </c>
    </row>
    <row r="38" customFormat="false" ht="15" hidden="false" customHeight="false" outlineLevel="0" collapsed="false">
      <c r="A38" s="10"/>
      <c r="B38" s="10"/>
      <c r="C38" s="10"/>
      <c r="D38" s="10"/>
      <c r="E38" s="11"/>
      <c r="F38" s="8"/>
      <c r="G38" s="9" t="str">
        <f aca="false">IF(E38="","",E38*(1+F38))</f>
        <v/>
      </c>
    </row>
    <row r="39" customFormat="false" ht="15" hidden="false" customHeight="false" outlineLevel="0" collapsed="false">
      <c r="A39" s="10"/>
      <c r="B39" s="10"/>
      <c r="C39" s="10"/>
      <c r="D39" s="10"/>
      <c r="E39" s="11"/>
      <c r="F39" s="8"/>
      <c r="G39" s="9" t="str">
        <f aca="false">IF(E39="","",E39*(1+F39))</f>
        <v/>
      </c>
    </row>
    <row r="40" customFormat="false" ht="15" hidden="false" customHeight="false" outlineLevel="0" collapsed="false">
      <c r="A40" s="10"/>
      <c r="B40" s="10"/>
      <c r="C40" s="10"/>
      <c r="D40" s="10"/>
      <c r="E40" s="11"/>
      <c r="F40" s="8"/>
      <c r="G40" s="9" t="str">
        <f aca="false">IF(E40="","",E40*(1+F40))</f>
        <v/>
      </c>
    </row>
    <row r="41" customFormat="false" ht="15" hidden="false" customHeight="false" outlineLevel="0" collapsed="false">
      <c r="A41" s="10"/>
      <c r="B41" s="10"/>
      <c r="C41" s="10"/>
      <c r="D41" s="10"/>
      <c r="E41" s="11"/>
      <c r="F41" s="8"/>
      <c r="G41" s="9" t="str">
        <f aca="false">IF(E41="","",E41*(1+F41))</f>
        <v/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2"/>
  </cols>
  <sheetData>
    <row r="1" customFormat="false" ht="18.5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3" customFormat="false" ht="15" hidden="false" customHeight="false" outlineLevel="0" collapsed="false">
      <c r="A3" s="12" t="s">
        <v>78</v>
      </c>
      <c r="C3" s="8" t="n">
        <v>0.1</v>
      </c>
      <c r="E3" s="2" t="s">
        <v>79</v>
      </c>
    </row>
    <row r="4" customFormat="false" ht="15" hidden="false" customHeight="false" outlineLevel="0" collapsed="false">
      <c r="A4" s="12" t="s">
        <v>80</v>
      </c>
      <c r="C4" s="8" t="n">
        <v>0.1</v>
      </c>
    </row>
    <row r="6" customFormat="false" ht="15" hidden="false" customHeight="false" outlineLevel="0" collapsed="false">
      <c r="A6" s="13" t="s">
        <v>81</v>
      </c>
      <c r="B6" s="14"/>
      <c r="C6" s="14"/>
      <c r="D6" s="14"/>
      <c r="E6" s="14"/>
      <c r="F6" s="13" t="s">
        <v>82</v>
      </c>
      <c r="G6" s="15" t="s">
        <v>26</v>
      </c>
    </row>
    <row r="7" customFormat="false" ht="25.5" hidden="false" customHeight="true" outlineLevel="0" collapsed="false">
      <c r="A7" s="5" t="s">
        <v>13</v>
      </c>
      <c r="B7" s="5" t="s">
        <v>15</v>
      </c>
      <c r="C7" s="5" t="s">
        <v>16</v>
      </c>
      <c r="D7" s="5" t="s">
        <v>83</v>
      </c>
      <c r="E7" s="5" t="s">
        <v>84</v>
      </c>
      <c r="F7" s="5" t="s">
        <v>85</v>
      </c>
      <c r="G7" s="5" t="s">
        <v>14</v>
      </c>
    </row>
    <row r="8" customFormat="false" ht="15" hidden="false" customHeight="false" outlineLevel="0" collapsed="false">
      <c r="A8" s="10" t="s">
        <v>20</v>
      </c>
      <c r="B8" s="6" t="str">
        <f aca="false">IFERROR(INDEX(Resources!$C$5:$C$42,MATCH(A8,Resources!$A$5:$A$42,0)),"")</f>
        <v>Cement, 50 kg bag</v>
      </c>
      <c r="C8" s="6" t="str">
        <f aca="false">IFERROR(INDEX(Resources!$D$5:$D$42,MATCH(A8,Resources!$A$5:$A$42,0)),"")</f>
        <v>bag</v>
      </c>
      <c r="D8" s="16" t="n">
        <v>7</v>
      </c>
      <c r="E8" s="9" t="n">
        <f aca="false">IFERROR(INDEX(Resources!$G$5:$G$42,MATCH(A8,Resources!$A$5:$A$42,0)),0)</f>
        <v>978.5</v>
      </c>
      <c r="F8" s="9" t="n">
        <f aca="false">D8*E8</f>
        <v>6849.5</v>
      </c>
      <c r="G8" s="6" t="str">
        <f aca="false">IFERROR(INDEX(Resources!$B$5:$B$42,MATCH(A8,Resources!$A$5:$A$42,0)),"")</f>
        <v>Material</v>
      </c>
    </row>
    <row r="9" customFormat="false" ht="15" hidden="false" customHeight="false" outlineLevel="0" collapsed="false">
      <c r="A9" s="10" t="s">
        <v>24</v>
      </c>
      <c r="B9" s="6" t="str">
        <f aca="false">IFERROR(INDEX(Resources!$C$5:$C$42,MATCH(A9,Resources!$A$5:$A$42,0)),"")</f>
        <v>Sand (river / washed)</v>
      </c>
      <c r="C9" s="6" t="str">
        <f aca="false">IFERROR(INDEX(Resources!$D$5:$D$42,MATCH(A9,Resources!$A$5:$A$42,0)),"")</f>
        <v>m3</v>
      </c>
      <c r="D9" s="16" t="n">
        <v>0.45</v>
      </c>
      <c r="E9" s="9" t="n">
        <f aca="false">IFERROR(INDEX(Resources!$G$5:$G$42,MATCH(A9,Resources!$A$5:$A$42,0)),0)</f>
        <v>2310</v>
      </c>
      <c r="F9" s="9" t="n">
        <f aca="false">D9*E9</f>
        <v>1039.5</v>
      </c>
      <c r="G9" s="6" t="str">
        <f aca="false">IFERROR(INDEX(Resources!$B$5:$B$42,MATCH(A9,Resources!$A$5:$A$42,0)),"")</f>
        <v>Material</v>
      </c>
    </row>
    <row r="10" customFormat="false" ht="15" hidden="false" customHeight="false" outlineLevel="0" collapsed="false">
      <c r="A10" s="10" t="s">
        <v>27</v>
      </c>
      <c r="B10" s="6" t="str">
        <f aca="false">IFERROR(INDEX(Resources!$C$5:$C$42,MATCH(A10,Resources!$A$5:$A$42,0)),"")</f>
        <v>Coarse aggregate 20 mm</v>
      </c>
      <c r="C10" s="6" t="str">
        <f aca="false">IFERROR(INDEX(Resources!$D$5:$D$42,MATCH(A10,Resources!$A$5:$A$42,0)),"")</f>
        <v>m3</v>
      </c>
      <c r="D10" s="16" t="n">
        <v>0.85</v>
      </c>
      <c r="E10" s="9" t="n">
        <f aca="false">IFERROR(INDEX(Resources!$G$5:$G$42,MATCH(A10,Resources!$A$5:$A$42,0)),0)</f>
        <v>2730</v>
      </c>
      <c r="F10" s="9" t="n">
        <f aca="false">D10*E10</f>
        <v>2320.5</v>
      </c>
      <c r="G10" s="6" t="str">
        <f aca="false">IFERROR(INDEX(Resources!$B$5:$B$42,MATCH(A10,Resources!$A$5:$A$42,0)),"")</f>
        <v>Material</v>
      </c>
    </row>
    <row r="11" customFormat="false" ht="15" hidden="false" customHeight="false" outlineLevel="0" collapsed="false">
      <c r="A11" s="10" t="s">
        <v>49</v>
      </c>
      <c r="B11" s="6" t="str">
        <f aca="false">IFERROR(INDEX(Resources!$C$5:$C$42,MATCH(A11,Resources!$A$5:$A$42,0)),"")</f>
        <v>Water</v>
      </c>
      <c r="C11" s="6" t="str">
        <f aca="false">IFERROR(INDEX(Resources!$D$5:$D$42,MATCH(A11,Resources!$A$5:$A$42,0)),"")</f>
        <v>m3</v>
      </c>
      <c r="D11" s="16" t="n">
        <v>0.18</v>
      </c>
      <c r="E11" s="9" t="n">
        <f aca="false">IFERROR(INDEX(Resources!$G$5:$G$42,MATCH(A11,Resources!$A$5:$A$42,0)),0)</f>
        <v>120</v>
      </c>
      <c r="F11" s="9" t="n">
        <f aca="false">D11*E11</f>
        <v>21.6</v>
      </c>
      <c r="G11" s="6" t="str">
        <f aca="false">IFERROR(INDEX(Resources!$B$5:$B$42,MATCH(A11,Resources!$A$5:$A$42,0)),"")</f>
        <v>Material</v>
      </c>
    </row>
    <row r="12" customFormat="false" ht="15" hidden="false" customHeight="false" outlineLevel="0" collapsed="false">
      <c r="A12" s="10" t="s">
        <v>55</v>
      </c>
      <c r="B12" s="6" t="str">
        <f aca="false">IFERROR(INDEX(Resources!$C$5:$C$42,MATCH(A12,Resources!$A$5:$A$42,0)),"")</f>
        <v>Mason</v>
      </c>
      <c r="C12" s="6" t="str">
        <f aca="false">IFERROR(INDEX(Resources!$D$5:$D$42,MATCH(A12,Resources!$A$5:$A$42,0)),"")</f>
        <v>day</v>
      </c>
      <c r="D12" s="16" t="n">
        <v>0.5</v>
      </c>
      <c r="E12" s="9" t="n">
        <f aca="false">IFERROR(INDEX(Resources!$G$5:$G$42,MATCH(A12,Resources!$A$5:$A$42,0)),0)</f>
        <v>800</v>
      </c>
      <c r="F12" s="9" t="n">
        <f aca="false">D12*E12</f>
        <v>400</v>
      </c>
      <c r="G12" s="6" t="str">
        <f aca="false">IFERROR(INDEX(Resources!$B$5:$B$42,MATCH(A12,Resources!$A$5:$A$42,0)),"")</f>
        <v>Labour</v>
      </c>
    </row>
    <row r="13" customFormat="false" ht="15" hidden="false" customHeight="false" outlineLevel="0" collapsed="false">
      <c r="A13" s="10" t="s">
        <v>65</v>
      </c>
      <c r="B13" s="6" t="str">
        <f aca="false">IFERROR(INDEX(Resources!$C$5:$C$42,MATCH(A13,Resources!$A$5:$A$42,0)),"")</f>
        <v>Unskilled labourer</v>
      </c>
      <c r="C13" s="6" t="str">
        <f aca="false">IFERROR(INDEX(Resources!$D$5:$D$42,MATCH(A13,Resources!$A$5:$A$42,0)),"")</f>
        <v>day</v>
      </c>
      <c r="D13" s="16" t="n">
        <v>2.5</v>
      </c>
      <c r="E13" s="9" t="n">
        <f aca="false">IFERROR(INDEX(Resources!$G$5:$G$42,MATCH(A13,Resources!$A$5:$A$42,0)),0)</f>
        <v>450</v>
      </c>
      <c r="F13" s="9" t="n">
        <f aca="false">D13*E13</f>
        <v>1125</v>
      </c>
      <c r="G13" s="6" t="str">
        <f aca="false">IFERROR(INDEX(Resources!$B$5:$B$42,MATCH(A13,Resources!$A$5:$A$42,0)),"")</f>
        <v>Labour</v>
      </c>
    </row>
    <row r="14" customFormat="false" ht="15" hidden="false" customHeight="false" outlineLevel="0" collapsed="false">
      <c r="A14" s="10" t="s">
        <v>67</v>
      </c>
      <c r="B14" s="6" t="str">
        <f aca="false">IFERROR(INDEX(Resources!$C$5:$C$42,MATCH(A14,Resources!$A$5:$A$42,0)),"")</f>
        <v>Concrete mixer (hire)</v>
      </c>
      <c r="C14" s="6" t="str">
        <f aca="false">IFERROR(INDEX(Resources!$D$5:$D$42,MATCH(A14,Resources!$A$5:$A$42,0)),"")</f>
        <v>hr</v>
      </c>
      <c r="D14" s="16" t="n">
        <v>1.5</v>
      </c>
      <c r="E14" s="9" t="n">
        <f aca="false">IFERROR(INDEX(Resources!$G$5:$G$42,MATCH(A14,Resources!$A$5:$A$42,0)),0)</f>
        <v>350</v>
      </c>
      <c r="F14" s="9" t="n">
        <f aca="false">D14*E14</f>
        <v>525</v>
      </c>
      <c r="G14" s="6" t="str">
        <f aca="false">IFERROR(INDEX(Resources!$B$5:$B$42,MATCH(A14,Resources!$A$5:$A$42,0)),"")</f>
        <v>Equipment</v>
      </c>
    </row>
    <row r="15" customFormat="false" ht="15" hidden="false" customHeight="false" outlineLevel="0" collapsed="false">
      <c r="A15" s="10" t="s">
        <v>71</v>
      </c>
      <c r="B15" s="6" t="str">
        <f aca="false">IFERROR(INDEX(Resources!$C$5:$C$42,MATCH(A15,Resources!$A$5:$A$42,0)),"")</f>
        <v>Poker vibrator (hire)</v>
      </c>
      <c r="C15" s="6" t="str">
        <f aca="false">IFERROR(INDEX(Resources!$D$5:$D$42,MATCH(A15,Resources!$A$5:$A$42,0)),"")</f>
        <v>hr</v>
      </c>
      <c r="D15" s="16" t="n">
        <v>1</v>
      </c>
      <c r="E15" s="9" t="n">
        <f aca="false">IFERROR(INDEX(Resources!$G$5:$G$42,MATCH(A15,Resources!$A$5:$A$42,0)),0)</f>
        <v>200</v>
      </c>
      <c r="F15" s="9" t="n">
        <f aca="false">D15*E15</f>
        <v>200</v>
      </c>
      <c r="G15" s="6" t="str">
        <f aca="false">IFERROR(INDEX(Resources!$B$5:$B$42,MATCH(A15,Resources!$A$5:$A$42,0)),"")</f>
        <v>Equipment</v>
      </c>
    </row>
    <row r="16" customFormat="false" ht="15" hidden="false" customHeight="false" outlineLevel="0" collapsed="false">
      <c r="A16" s="10"/>
      <c r="B16" s="6" t="str">
        <f aca="false">IFERROR(INDEX(Resources!$C$5:$C$42,MATCH(A16,Resources!$A$5:$A$42,0)),"")</f>
        <v/>
      </c>
      <c r="C16" s="6" t="str">
        <f aca="false">IFERROR(INDEX(Resources!$D$5:$D$42,MATCH(A16,Resources!$A$5:$A$42,0)),"")</f>
        <v/>
      </c>
      <c r="D16" s="16"/>
      <c r="E16" s="9" t="n">
        <f aca="false">IFERROR(INDEX(Resources!$G$5:$G$42,MATCH(A16,Resources!$A$5:$A$42,0)),0)</f>
        <v>0</v>
      </c>
      <c r="F16" s="9" t="n">
        <f aca="false">D16*E16</f>
        <v>0</v>
      </c>
      <c r="G16" s="6" t="str">
        <f aca="false">IFERROR(INDEX(Resources!$B$5:$B$42,MATCH(A16,Resources!$A$5:$A$42,0)),"")</f>
        <v/>
      </c>
    </row>
    <row r="17" customFormat="false" ht="15" hidden="false" customHeight="false" outlineLevel="0" collapsed="false">
      <c r="A17" s="10"/>
      <c r="B17" s="6" t="str">
        <f aca="false">IFERROR(INDEX(Resources!$C$5:$C$42,MATCH(A17,Resources!$A$5:$A$42,0)),"")</f>
        <v/>
      </c>
      <c r="C17" s="6" t="str">
        <f aca="false">IFERROR(INDEX(Resources!$D$5:$D$42,MATCH(A17,Resources!$A$5:$A$42,0)),"")</f>
        <v/>
      </c>
      <c r="D17" s="16"/>
      <c r="E17" s="9" t="n">
        <f aca="false">IFERROR(INDEX(Resources!$G$5:$G$42,MATCH(A17,Resources!$A$5:$A$42,0)),0)</f>
        <v>0</v>
      </c>
      <c r="F17" s="9" t="n">
        <f aca="false">D17*E17</f>
        <v>0</v>
      </c>
      <c r="G17" s="6" t="str">
        <f aca="false">IFERROR(INDEX(Resources!$B$5:$B$42,MATCH(A17,Resources!$A$5:$A$42,0)),"")</f>
        <v/>
      </c>
    </row>
    <row r="18" customFormat="false" ht="15" hidden="false" customHeight="false" outlineLevel="0" collapsed="false">
      <c r="E18" s="12" t="s">
        <v>86</v>
      </c>
      <c r="F18" s="17" t="n">
        <f aca="false">SUM(F8:F17)</f>
        <v>12481.1</v>
      </c>
    </row>
    <row r="19" customFormat="false" ht="15" hidden="false" customHeight="false" outlineLevel="0" collapsed="false">
      <c r="E19" s="12" t="s">
        <v>87</v>
      </c>
      <c r="F19" s="17" t="n">
        <f aca="false">F18*$C$3</f>
        <v>1248.11</v>
      </c>
    </row>
    <row r="20" customFormat="false" ht="15" hidden="false" customHeight="false" outlineLevel="0" collapsed="false">
      <c r="E20" s="12" t="s">
        <v>88</v>
      </c>
      <c r="F20" s="17" t="n">
        <f aca="false">(F18+F19)*$C$4</f>
        <v>1372.921</v>
      </c>
    </row>
    <row r="21" customFormat="false" ht="15" hidden="false" customHeight="false" outlineLevel="0" collapsed="false">
      <c r="E21" s="18" t="s">
        <v>89</v>
      </c>
      <c r="F21" s="19" t="n">
        <f aca="false">F18+F19+F20</f>
        <v>15102.131</v>
      </c>
    </row>
    <row r="24" customFormat="false" ht="15" hidden="false" customHeight="false" outlineLevel="0" collapsed="false">
      <c r="A24" s="13" t="s">
        <v>90</v>
      </c>
      <c r="B24" s="14"/>
      <c r="C24" s="14"/>
      <c r="D24" s="14"/>
      <c r="E24" s="14"/>
      <c r="F24" s="13" t="s">
        <v>82</v>
      </c>
      <c r="G24" s="15" t="s">
        <v>31</v>
      </c>
    </row>
    <row r="25" customFormat="false" ht="25.5" hidden="false" customHeight="true" outlineLevel="0" collapsed="false">
      <c r="A25" s="5" t="s">
        <v>13</v>
      </c>
      <c r="B25" s="5" t="s">
        <v>15</v>
      </c>
      <c r="C25" s="5" t="s">
        <v>16</v>
      </c>
      <c r="D25" s="5" t="s">
        <v>83</v>
      </c>
      <c r="E25" s="5" t="s">
        <v>84</v>
      </c>
      <c r="F25" s="5" t="s">
        <v>85</v>
      </c>
      <c r="G25" s="5" t="s">
        <v>14</v>
      </c>
    </row>
    <row r="26" customFormat="false" ht="15" hidden="false" customHeight="false" outlineLevel="0" collapsed="false">
      <c r="A26" s="10" t="s">
        <v>29</v>
      </c>
      <c r="B26" s="6" t="str">
        <f aca="false">IFERROR(INDEX(Resources!$C$5:$C$42,MATCH(A26,Resources!$A$5:$A$42,0)),"")</f>
        <v>Reinforcement steel bars</v>
      </c>
      <c r="C26" s="6" t="str">
        <f aca="false">IFERROR(INDEX(Resources!$D$5:$D$42,MATCH(A26,Resources!$A$5:$A$42,0)),"")</f>
        <v>kg</v>
      </c>
      <c r="D26" s="16" t="n">
        <v>1</v>
      </c>
      <c r="E26" s="9" t="n">
        <f aca="false">IFERROR(INDEX(Resources!$G$5:$G$42,MATCH(A26,Resources!$A$5:$A$42,0)),0)</f>
        <v>99.75</v>
      </c>
      <c r="F26" s="9" t="n">
        <f aca="false">D26*E26</f>
        <v>99.75</v>
      </c>
      <c r="G26" s="6" t="str">
        <f aca="false">IFERROR(INDEX(Resources!$B$5:$B$42,MATCH(A26,Resources!$A$5:$A$42,0)),"")</f>
        <v>Material</v>
      </c>
    </row>
    <row r="27" customFormat="false" ht="15" hidden="false" customHeight="false" outlineLevel="0" collapsed="false">
      <c r="A27" s="10" t="s">
        <v>32</v>
      </c>
      <c r="B27" s="6" t="str">
        <f aca="false">IFERROR(INDEX(Resources!$C$5:$C$42,MATCH(A27,Resources!$A$5:$A$42,0)),"")</f>
        <v>Binding wire</v>
      </c>
      <c r="C27" s="6" t="str">
        <f aca="false">IFERROR(INDEX(Resources!$D$5:$D$42,MATCH(A27,Resources!$A$5:$A$42,0)),"")</f>
        <v>kg</v>
      </c>
      <c r="D27" s="16" t="n">
        <v>0.012</v>
      </c>
      <c r="E27" s="9" t="n">
        <f aca="false">IFERROR(INDEX(Resources!$G$5:$G$42,MATCH(A27,Resources!$A$5:$A$42,0)),0)</f>
        <v>115.5</v>
      </c>
      <c r="F27" s="9" t="n">
        <f aca="false">D27*E27</f>
        <v>1.386</v>
      </c>
      <c r="G27" s="6" t="str">
        <f aca="false">IFERROR(INDEX(Resources!$B$5:$B$42,MATCH(A27,Resources!$A$5:$A$42,0)),"")</f>
        <v>Material</v>
      </c>
    </row>
    <row r="28" customFormat="false" ht="15" hidden="false" customHeight="false" outlineLevel="0" collapsed="false">
      <c r="A28" s="10" t="s">
        <v>59</v>
      </c>
      <c r="B28" s="6" t="str">
        <f aca="false">IFERROR(INDEX(Resources!$C$5:$C$42,MATCH(A28,Resources!$A$5:$A$42,0)),"")</f>
        <v>Steel fixer</v>
      </c>
      <c r="C28" s="6" t="str">
        <f aca="false">IFERROR(INDEX(Resources!$D$5:$D$42,MATCH(A28,Resources!$A$5:$A$42,0)),"")</f>
        <v>day</v>
      </c>
      <c r="D28" s="16" t="n">
        <v>0.012</v>
      </c>
      <c r="E28" s="9" t="n">
        <f aca="false">IFERROR(INDEX(Resources!$G$5:$G$42,MATCH(A28,Resources!$A$5:$A$42,0)),0)</f>
        <v>750</v>
      </c>
      <c r="F28" s="9" t="n">
        <f aca="false">D28*E28</f>
        <v>9</v>
      </c>
      <c r="G28" s="6" t="str">
        <f aca="false">IFERROR(INDEX(Resources!$B$5:$B$42,MATCH(A28,Resources!$A$5:$A$42,0)),"")</f>
        <v>Labour</v>
      </c>
    </row>
    <row r="29" customFormat="false" ht="15" hidden="false" customHeight="false" outlineLevel="0" collapsed="false">
      <c r="A29" s="10" t="s">
        <v>65</v>
      </c>
      <c r="B29" s="6" t="str">
        <f aca="false">IFERROR(INDEX(Resources!$C$5:$C$42,MATCH(A29,Resources!$A$5:$A$42,0)),"")</f>
        <v>Unskilled labourer</v>
      </c>
      <c r="C29" s="6" t="str">
        <f aca="false">IFERROR(INDEX(Resources!$D$5:$D$42,MATCH(A29,Resources!$A$5:$A$42,0)),"")</f>
        <v>day</v>
      </c>
      <c r="D29" s="16" t="n">
        <v>0.012</v>
      </c>
      <c r="E29" s="9" t="n">
        <f aca="false">IFERROR(INDEX(Resources!$G$5:$G$42,MATCH(A29,Resources!$A$5:$A$42,0)),0)</f>
        <v>450</v>
      </c>
      <c r="F29" s="9" t="n">
        <f aca="false">D29*E29</f>
        <v>5.4</v>
      </c>
      <c r="G29" s="6" t="str">
        <f aca="false">IFERROR(INDEX(Resources!$B$5:$B$42,MATCH(A29,Resources!$A$5:$A$42,0)),"")</f>
        <v>Labour</v>
      </c>
    </row>
    <row r="30" customFormat="false" ht="15" hidden="false" customHeight="false" outlineLevel="0" collapsed="false">
      <c r="A30" s="10"/>
      <c r="B30" s="6" t="str">
        <f aca="false">IFERROR(INDEX(Resources!$C$5:$C$42,MATCH(A30,Resources!$A$5:$A$42,0)),"")</f>
        <v/>
      </c>
      <c r="C30" s="6" t="str">
        <f aca="false">IFERROR(INDEX(Resources!$D$5:$D$42,MATCH(A30,Resources!$A$5:$A$42,0)),"")</f>
        <v/>
      </c>
      <c r="D30" s="16"/>
      <c r="E30" s="9" t="n">
        <f aca="false">IFERROR(INDEX(Resources!$G$5:$G$42,MATCH(A30,Resources!$A$5:$A$42,0)),0)</f>
        <v>0</v>
      </c>
      <c r="F30" s="9" t="n">
        <f aca="false">D30*E30</f>
        <v>0</v>
      </c>
      <c r="G30" s="6" t="str">
        <f aca="false">IFERROR(INDEX(Resources!$B$5:$B$42,MATCH(A30,Resources!$A$5:$A$42,0)),"")</f>
        <v/>
      </c>
    </row>
    <row r="31" customFormat="false" ht="15" hidden="false" customHeight="false" outlineLevel="0" collapsed="false">
      <c r="A31" s="10"/>
      <c r="B31" s="6" t="str">
        <f aca="false">IFERROR(INDEX(Resources!$C$5:$C$42,MATCH(A31,Resources!$A$5:$A$42,0)),"")</f>
        <v/>
      </c>
      <c r="C31" s="6" t="str">
        <f aca="false">IFERROR(INDEX(Resources!$D$5:$D$42,MATCH(A31,Resources!$A$5:$A$42,0)),"")</f>
        <v/>
      </c>
      <c r="D31" s="16"/>
      <c r="E31" s="9" t="n">
        <f aca="false">IFERROR(INDEX(Resources!$G$5:$G$42,MATCH(A31,Resources!$A$5:$A$42,0)),0)</f>
        <v>0</v>
      </c>
      <c r="F31" s="9" t="n">
        <f aca="false">D31*E31</f>
        <v>0</v>
      </c>
      <c r="G31" s="6" t="str">
        <f aca="false">IFERROR(INDEX(Resources!$B$5:$B$42,MATCH(A31,Resources!$A$5:$A$42,0)),"")</f>
        <v/>
      </c>
    </row>
    <row r="32" customFormat="false" ht="15" hidden="false" customHeight="false" outlineLevel="0" collapsed="false">
      <c r="E32" s="12" t="s">
        <v>86</v>
      </c>
      <c r="F32" s="17" t="n">
        <f aca="false">SUM(F26:F31)</f>
        <v>115.536</v>
      </c>
    </row>
    <row r="33" customFormat="false" ht="15" hidden="false" customHeight="false" outlineLevel="0" collapsed="false">
      <c r="E33" s="12" t="s">
        <v>87</v>
      </c>
      <c r="F33" s="17" t="n">
        <f aca="false">F32*$C$3</f>
        <v>11.5536</v>
      </c>
    </row>
    <row r="34" customFormat="false" ht="15" hidden="false" customHeight="false" outlineLevel="0" collapsed="false">
      <c r="E34" s="12" t="s">
        <v>88</v>
      </c>
      <c r="F34" s="17" t="n">
        <f aca="false">(F32+F33)*$C$4</f>
        <v>12.70896</v>
      </c>
    </row>
    <row r="35" customFormat="false" ht="15" hidden="false" customHeight="false" outlineLevel="0" collapsed="false">
      <c r="E35" s="18" t="s">
        <v>89</v>
      </c>
      <c r="F35" s="19" t="n">
        <f aca="false">F32+F33+F34</f>
        <v>139.79856</v>
      </c>
    </row>
    <row r="38" customFormat="false" ht="15" hidden="false" customHeight="false" outlineLevel="0" collapsed="false">
      <c r="A38" s="13" t="s">
        <v>91</v>
      </c>
      <c r="B38" s="14"/>
      <c r="C38" s="14"/>
      <c r="D38" s="14"/>
      <c r="E38" s="14"/>
      <c r="F38" s="13" t="s">
        <v>82</v>
      </c>
      <c r="G38" s="15" t="s">
        <v>39</v>
      </c>
    </row>
    <row r="39" customFormat="false" ht="25.5" hidden="false" customHeight="true" outlineLevel="0" collapsed="false">
      <c r="A39" s="5" t="s">
        <v>13</v>
      </c>
      <c r="B39" s="5" t="s">
        <v>15</v>
      </c>
      <c r="C39" s="5" t="s">
        <v>16</v>
      </c>
      <c r="D39" s="5" t="s">
        <v>83</v>
      </c>
      <c r="E39" s="5" t="s">
        <v>84</v>
      </c>
      <c r="F39" s="5" t="s">
        <v>85</v>
      </c>
      <c r="G39" s="5" t="s">
        <v>14</v>
      </c>
    </row>
    <row r="40" customFormat="false" ht="15" hidden="false" customHeight="false" outlineLevel="0" collapsed="false">
      <c r="A40" s="10" t="s">
        <v>37</v>
      </c>
      <c r="B40" s="6" t="str">
        <f aca="false">IFERROR(INDEX(Resources!$C$5:$C$42,MATCH(A40,Resources!$A$5:$A$42,0)),"")</f>
        <v>Timber for formwork (use-adjusted)</v>
      </c>
      <c r="C40" s="6" t="str">
        <f aca="false">IFERROR(INDEX(Resources!$D$5:$D$42,MATCH(A40,Resources!$A$5:$A$42,0)),"")</f>
        <v>m2</v>
      </c>
      <c r="D40" s="16" t="n">
        <v>1</v>
      </c>
      <c r="E40" s="9" t="n">
        <f aca="false">IFERROR(INDEX(Resources!$G$5:$G$42,MATCH(A40,Resources!$A$5:$A$42,0)),0)</f>
        <v>350</v>
      </c>
      <c r="F40" s="9" t="n">
        <f aca="false">D40*E40</f>
        <v>350</v>
      </c>
      <c r="G40" s="6" t="str">
        <f aca="false">IFERROR(INDEX(Resources!$B$5:$B$42,MATCH(A40,Resources!$A$5:$A$42,0)),"")</f>
        <v>Material</v>
      </c>
    </row>
    <row r="41" customFormat="false" ht="15" hidden="false" customHeight="false" outlineLevel="0" collapsed="false">
      <c r="A41" s="10" t="s">
        <v>57</v>
      </c>
      <c r="B41" s="6" t="str">
        <f aca="false">IFERROR(INDEX(Resources!$C$5:$C$42,MATCH(A41,Resources!$A$5:$A$42,0)),"")</f>
        <v>Carpenter</v>
      </c>
      <c r="C41" s="6" t="str">
        <f aca="false">IFERROR(INDEX(Resources!$D$5:$D$42,MATCH(A41,Resources!$A$5:$A$42,0)),"")</f>
        <v>day</v>
      </c>
      <c r="D41" s="16" t="n">
        <v>0.35</v>
      </c>
      <c r="E41" s="9" t="n">
        <f aca="false">IFERROR(INDEX(Resources!$G$5:$G$42,MATCH(A41,Resources!$A$5:$A$42,0)),0)</f>
        <v>800</v>
      </c>
      <c r="F41" s="9" t="n">
        <f aca="false">D41*E41</f>
        <v>280</v>
      </c>
      <c r="G41" s="6" t="str">
        <f aca="false">IFERROR(INDEX(Resources!$B$5:$B$42,MATCH(A41,Resources!$A$5:$A$42,0)),"")</f>
        <v>Labour</v>
      </c>
    </row>
    <row r="42" customFormat="false" ht="15" hidden="false" customHeight="false" outlineLevel="0" collapsed="false">
      <c r="A42" s="10" t="s">
        <v>65</v>
      </c>
      <c r="B42" s="6" t="str">
        <f aca="false">IFERROR(INDEX(Resources!$C$5:$C$42,MATCH(A42,Resources!$A$5:$A$42,0)),"")</f>
        <v>Unskilled labourer</v>
      </c>
      <c r="C42" s="6" t="str">
        <f aca="false">IFERROR(INDEX(Resources!$D$5:$D$42,MATCH(A42,Resources!$A$5:$A$42,0)),"")</f>
        <v>day</v>
      </c>
      <c r="D42" s="16" t="n">
        <v>0.25</v>
      </c>
      <c r="E42" s="9" t="n">
        <f aca="false">IFERROR(INDEX(Resources!$G$5:$G$42,MATCH(A42,Resources!$A$5:$A$42,0)),0)</f>
        <v>450</v>
      </c>
      <c r="F42" s="9" t="n">
        <f aca="false">D42*E42</f>
        <v>112.5</v>
      </c>
      <c r="G42" s="6" t="str">
        <f aca="false">IFERROR(INDEX(Resources!$B$5:$B$42,MATCH(A42,Resources!$A$5:$A$42,0)),"")</f>
        <v>Labour</v>
      </c>
    </row>
    <row r="43" customFormat="false" ht="15" hidden="false" customHeight="false" outlineLevel="0" collapsed="false">
      <c r="A43" s="10"/>
      <c r="B43" s="6" t="str">
        <f aca="false">IFERROR(INDEX(Resources!$C$5:$C$42,MATCH(A43,Resources!$A$5:$A$42,0)),"")</f>
        <v/>
      </c>
      <c r="C43" s="6" t="str">
        <f aca="false">IFERROR(INDEX(Resources!$D$5:$D$42,MATCH(A43,Resources!$A$5:$A$42,0)),"")</f>
        <v/>
      </c>
      <c r="D43" s="16"/>
      <c r="E43" s="9" t="n">
        <f aca="false">IFERROR(INDEX(Resources!$G$5:$G$42,MATCH(A43,Resources!$A$5:$A$42,0)),0)</f>
        <v>0</v>
      </c>
      <c r="F43" s="9" t="n">
        <f aca="false">D43*E43</f>
        <v>0</v>
      </c>
      <c r="G43" s="6" t="str">
        <f aca="false">IFERROR(INDEX(Resources!$B$5:$B$42,MATCH(A43,Resources!$A$5:$A$42,0)),"")</f>
        <v/>
      </c>
    </row>
    <row r="44" customFormat="false" ht="15" hidden="false" customHeight="false" outlineLevel="0" collapsed="false">
      <c r="A44" s="10"/>
      <c r="B44" s="6" t="str">
        <f aca="false">IFERROR(INDEX(Resources!$C$5:$C$42,MATCH(A44,Resources!$A$5:$A$42,0)),"")</f>
        <v/>
      </c>
      <c r="C44" s="6" t="str">
        <f aca="false">IFERROR(INDEX(Resources!$D$5:$D$42,MATCH(A44,Resources!$A$5:$A$42,0)),"")</f>
        <v/>
      </c>
      <c r="D44" s="16"/>
      <c r="E44" s="9" t="n">
        <f aca="false">IFERROR(INDEX(Resources!$G$5:$G$42,MATCH(A44,Resources!$A$5:$A$42,0)),0)</f>
        <v>0</v>
      </c>
      <c r="F44" s="9" t="n">
        <f aca="false">D44*E44</f>
        <v>0</v>
      </c>
      <c r="G44" s="6" t="str">
        <f aca="false">IFERROR(INDEX(Resources!$B$5:$B$42,MATCH(A44,Resources!$A$5:$A$42,0)),"")</f>
        <v/>
      </c>
    </row>
    <row r="45" customFormat="false" ht="15" hidden="false" customHeight="false" outlineLevel="0" collapsed="false">
      <c r="E45" s="12" t="s">
        <v>86</v>
      </c>
      <c r="F45" s="17" t="n">
        <f aca="false">SUM(F40:F44)</f>
        <v>742.5</v>
      </c>
    </row>
    <row r="46" customFormat="false" ht="15" hidden="false" customHeight="false" outlineLevel="0" collapsed="false">
      <c r="E46" s="12" t="s">
        <v>87</v>
      </c>
      <c r="F46" s="17" t="n">
        <f aca="false">F45*$C$3</f>
        <v>74.25</v>
      </c>
    </row>
    <row r="47" customFormat="false" ht="15" hidden="false" customHeight="false" outlineLevel="0" collapsed="false">
      <c r="E47" s="12" t="s">
        <v>88</v>
      </c>
      <c r="F47" s="17" t="n">
        <f aca="false">(F45+F46)*$C$4</f>
        <v>81.675</v>
      </c>
    </row>
    <row r="48" customFormat="false" ht="15" hidden="false" customHeight="false" outlineLevel="0" collapsed="false">
      <c r="E48" s="18" t="s">
        <v>89</v>
      </c>
      <c r="F48" s="19" t="n">
        <f aca="false">F45+F46+F47</f>
        <v>898.425</v>
      </c>
    </row>
    <row r="51" customFormat="false" ht="15" hidden="false" customHeight="false" outlineLevel="0" collapsed="false">
      <c r="A51" s="13" t="s">
        <v>92</v>
      </c>
      <c r="B51" s="14"/>
      <c r="C51" s="14"/>
      <c r="D51" s="14"/>
      <c r="E51" s="14"/>
      <c r="F51" s="13" t="s">
        <v>82</v>
      </c>
      <c r="G51" s="15" t="s">
        <v>39</v>
      </c>
    </row>
    <row r="52" customFormat="false" ht="25.5" hidden="false" customHeight="true" outlineLevel="0" collapsed="false">
      <c r="A52" s="5" t="s">
        <v>13</v>
      </c>
      <c r="B52" s="5" t="s">
        <v>15</v>
      </c>
      <c r="C52" s="5" t="s">
        <v>16</v>
      </c>
      <c r="D52" s="5" t="s">
        <v>83</v>
      </c>
      <c r="E52" s="5" t="s">
        <v>84</v>
      </c>
      <c r="F52" s="5" t="s">
        <v>85</v>
      </c>
      <c r="G52" s="5" t="s">
        <v>14</v>
      </c>
    </row>
    <row r="53" customFormat="false" ht="15" hidden="false" customHeight="false" outlineLevel="0" collapsed="false">
      <c r="A53" s="10" t="s">
        <v>34</v>
      </c>
      <c r="B53" s="6" t="str">
        <f aca="false">IFERROR(INDEX(Resources!$C$5:$C$42,MATCH(A53,Resources!$A$5:$A$42,0)),"")</f>
        <v>Hollow concrete block 20 cm</v>
      </c>
      <c r="C53" s="6" t="str">
        <f aca="false">IFERROR(INDEX(Resources!$D$5:$D$42,MATCH(A53,Resources!$A$5:$A$42,0)),"")</f>
        <v>no</v>
      </c>
      <c r="D53" s="16" t="n">
        <v>12.5</v>
      </c>
      <c r="E53" s="9" t="n">
        <f aca="false">IFERROR(INDEX(Resources!$G$5:$G$42,MATCH(A53,Resources!$A$5:$A$42,0)),0)</f>
        <v>39.14</v>
      </c>
      <c r="F53" s="9" t="n">
        <f aca="false">D53*E53</f>
        <v>489.25</v>
      </c>
      <c r="G53" s="6" t="str">
        <f aca="false">IFERROR(INDEX(Resources!$B$5:$B$42,MATCH(A53,Resources!$A$5:$A$42,0)),"")</f>
        <v>Material</v>
      </c>
    </row>
    <row r="54" customFormat="false" ht="15" hidden="false" customHeight="false" outlineLevel="0" collapsed="false">
      <c r="A54" s="10" t="s">
        <v>20</v>
      </c>
      <c r="B54" s="6" t="str">
        <f aca="false">IFERROR(INDEX(Resources!$C$5:$C$42,MATCH(A54,Resources!$A$5:$A$42,0)),"")</f>
        <v>Cement, 50 kg bag</v>
      </c>
      <c r="C54" s="6" t="str">
        <f aca="false">IFERROR(INDEX(Resources!$D$5:$D$42,MATCH(A54,Resources!$A$5:$A$42,0)),"")</f>
        <v>bag</v>
      </c>
      <c r="D54" s="16" t="n">
        <v>0.25</v>
      </c>
      <c r="E54" s="9" t="n">
        <f aca="false">IFERROR(INDEX(Resources!$G$5:$G$42,MATCH(A54,Resources!$A$5:$A$42,0)),0)</f>
        <v>978.5</v>
      </c>
      <c r="F54" s="9" t="n">
        <f aca="false">D54*E54</f>
        <v>244.625</v>
      </c>
      <c r="G54" s="6" t="str">
        <f aca="false">IFERROR(INDEX(Resources!$B$5:$B$42,MATCH(A54,Resources!$A$5:$A$42,0)),"")</f>
        <v>Material</v>
      </c>
    </row>
    <row r="55" customFormat="false" ht="15" hidden="false" customHeight="false" outlineLevel="0" collapsed="false">
      <c r="A55" s="10" t="s">
        <v>24</v>
      </c>
      <c r="B55" s="6" t="str">
        <f aca="false">IFERROR(INDEX(Resources!$C$5:$C$42,MATCH(A55,Resources!$A$5:$A$42,0)),"")</f>
        <v>Sand (river / washed)</v>
      </c>
      <c r="C55" s="6" t="str">
        <f aca="false">IFERROR(INDEX(Resources!$D$5:$D$42,MATCH(A55,Resources!$A$5:$A$42,0)),"")</f>
        <v>m3</v>
      </c>
      <c r="D55" s="16" t="n">
        <v>0.035</v>
      </c>
      <c r="E55" s="9" t="n">
        <f aca="false">IFERROR(INDEX(Resources!$G$5:$G$42,MATCH(A55,Resources!$A$5:$A$42,0)),0)</f>
        <v>2310</v>
      </c>
      <c r="F55" s="9" t="n">
        <f aca="false">D55*E55</f>
        <v>80.85</v>
      </c>
      <c r="G55" s="6" t="str">
        <f aca="false">IFERROR(INDEX(Resources!$B$5:$B$42,MATCH(A55,Resources!$A$5:$A$42,0)),"")</f>
        <v>Material</v>
      </c>
    </row>
    <row r="56" customFormat="false" ht="15" hidden="false" customHeight="false" outlineLevel="0" collapsed="false">
      <c r="A56" s="10" t="s">
        <v>49</v>
      </c>
      <c r="B56" s="6" t="str">
        <f aca="false">IFERROR(INDEX(Resources!$C$5:$C$42,MATCH(A56,Resources!$A$5:$A$42,0)),"")</f>
        <v>Water</v>
      </c>
      <c r="C56" s="6" t="str">
        <f aca="false">IFERROR(INDEX(Resources!$D$5:$D$42,MATCH(A56,Resources!$A$5:$A$42,0)),"")</f>
        <v>m3</v>
      </c>
      <c r="D56" s="16" t="n">
        <v>0.01</v>
      </c>
      <c r="E56" s="9" t="n">
        <f aca="false">IFERROR(INDEX(Resources!$G$5:$G$42,MATCH(A56,Resources!$A$5:$A$42,0)),0)</f>
        <v>120</v>
      </c>
      <c r="F56" s="9" t="n">
        <f aca="false">D56*E56</f>
        <v>1.2</v>
      </c>
      <c r="G56" s="6" t="str">
        <f aca="false">IFERROR(INDEX(Resources!$B$5:$B$42,MATCH(A56,Resources!$A$5:$A$42,0)),"")</f>
        <v>Material</v>
      </c>
    </row>
    <row r="57" customFormat="false" ht="15" hidden="false" customHeight="false" outlineLevel="0" collapsed="false">
      <c r="A57" s="10" t="s">
        <v>55</v>
      </c>
      <c r="B57" s="6" t="str">
        <f aca="false">IFERROR(INDEX(Resources!$C$5:$C$42,MATCH(A57,Resources!$A$5:$A$42,0)),"")</f>
        <v>Mason</v>
      </c>
      <c r="C57" s="6" t="str">
        <f aca="false">IFERROR(INDEX(Resources!$D$5:$D$42,MATCH(A57,Resources!$A$5:$A$42,0)),"")</f>
        <v>day</v>
      </c>
      <c r="D57" s="16" t="n">
        <v>0.35</v>
      </c>
      <c r="E57" s="9" t="n">
        <f aca="false">IFERROR(INDEX(Resources!$G$5:$G$42,MATCH(A57,Resources!$A$5:$A$42,0)),0)</f>
        <v>800</v>
      </c>
      <c r="F57" s="9" t="n">
        <f aca="false">D57*E57</f>
        <v>280</v>
      </c>
      <c r="G57" s="6" t="str">
        <f aca="false">IFERROR(INDEX(Resources!$B$5:$B$42,MATCH(A57,Resources!$A$5:$A$42,0)),"")</f>
        <v>Labour</v>
      </c>
    </row>
    <row r="58" customFormat="false" ht="15" hidden="false" customHeight="false" outlineLevel="0" collapsed="false">
      <c r="A58" s="10" t="s">
        <v>65</v>
      </c>
      <c r="B58" s="6" t="str">
        <f aca="false">IFERROR(INDEX(Resources!$C$5:$C$42,MATCH(A58,Resources!$A$5:$A$42,0)),"")</f>
        <v>Unskilled labourer</v>
      </c>
      <c r="C58" s="6" t="str">
        <f aca="false">IFERROR(INDEX(Resources!$D$5:$D$42,MATCH(A58,Resources!$A$5:$A$42,0)),"")</f>
        <v>day</v>
      </c>
      <c r="D58" s="16" t="n">
        <v>0.35</v>
      </c>
      <c r="E58" s="9" t="n">
        <f aca="false">IFERROR(INDEX(Resources!$G$5:$G$42,MATCH(A58,Resources!$A$5:$A$42,0)),0)</f>
        <v>450</v>
      </c>
      <c r="F58" s="9" t="n">
        <f aca="false">D58*E58</f>
        <v>157.5</v>
      </c>
      <c r="G58" s="6" t="str">
        <f aca="false">IFERROR(INDEX(Resources!$B$5:$B$42,MATCH(A58,Resources!$A$5:$A$42,0)),"")</f>
        <v>Labour</v>
      </c>
    </row>
    <row r="59" customFormat="false" ht="15" hidden="false" customHeight="false" outlineLevel="0" collapsed="false">
      <c r="A59" s="10"/>
      <c r="B59" s="6" t="str">
        <f aca="false">IFERROR(INDEX(Resources!$C$5:$C$42,MATCH(A59,Resources!$A$5:$A$42,0)),"")</f>
        <v/>
      </c>
      <c r="C59" s="6" t="str">
        <f aca="false">IFERROR(INDEX(Resources!$D$5:$D$42,MATCH(A59,Resources!$A$5:$A$42,0)),"")</f>
        <v/>
      </c>
      <c r="D59" s="16"/>
      <c r="E59" s="9" t="n">
        <f aca="false">IFERROR(INDEX(Resources!$G$5:$G$42,MATCH(A59,Resources!$A$5:$A$42,0)),0)</f>
        <v>0</v>
      </c>
      <c r="F59" s="9" t="n">
        <f aca="false">D59*E59</f>
        <v>0</v>
      </c>
      <c r="G59" s="6" t="str">
        <f aca="false">IFERROR(INDEX(Resources!$B$5:$B$42,MATCH(A59,Resources!$A$5:$A$42,0)),"")</f>
        <v/>
      </c>
    </row>
    <row r="60" customFormat="false" ht="15" hidden="false" customHeight="false" outlineLevel="0" collapsed="false">
      <c r="A60" s="10"/>
      <c r="B60" s="6" t="str">
        <f aca="false">IFERROR(INDEX(Resources!$C$5:$C$42,MATCH(A60,Resources!$A$5:$A$42,0)),"")</f>
        <v/>
      </c>
      <c r="C60" s="6" t="str">
        <f aca="false">IFERROR(INDEX(Resources!$D$5:$D$42,MATCH(A60,Resources!$A$5:$A$42,0)),"")</f>
        <v/>
      </c>
      <c r="D60" s="16"/>
      <c r="E60" s="9" t="n">
        <f aca="false">IFERROR(INDEX(Resources!$G$5:$G$42,MATCH(A60,Resources!$A$5:$A$42,0)),0)</f>
        <v>0</v>
      </c>
      <c r="F60" s="9" t="n">
        <f aca="false">D60*E60</f>
        <v>0</v>
      </c>
      <c r="G60" s="6" t="str">
        <f aca="false">IFERROR(INDEX(Resources!$B$5:$B$42,MATCH(A60,Resources!$A$5:$A$42,0)),"")</f>
        <v/>
      </c>
    </row>
    <row r="61" customFormat="false" ht="15" hidden="false" customHeight="false" outlineLevel="0" collapsed="false">
      <c r="E61" s="12" t="s">
        <v>86</v>
      </c>
      <c r="F61" s="17" t="n">
        <f aca="false">SUM(F53:F60)</f>
        <v>1253.425</v>
      </c>
    </row>
    <row r="62" customFormat="false" ht="15" hidden="false" customHeight="false" outlineLevel="0" collapsed="false">
      <c r="E62" s="12" t="s">
        <v>87</v>
      </c>
      <c r="F62" s="17" t="n">
        <f aca="false">F61*$C$3</f>
        <v>125.3425</v>
      </c>
    </row>
    <row r="63" customFormat="false" ht="15" hidden="false" customHeight="false" outlineLevel="0" collapsed="false">
      <c r="E63" s="12" t="s">
        <v>88</v>
      </c>
      <c r="F63" s="17" t="n">
        <f aca="false">(F61+F62)*$C$4</f>
        <v>137.87675</v>
      </c>
    </row>
    <row r="64" customFormat="false" ht="15" hidden="false" customHeight="false" outlineLevel="0" collapsed="false">
      <c r="E64" s="18" t="s">
        <v>89</v>
      </c>
      <c r="F64" s="19" t="n">
        <f aca="false">F61+F62+F63</f>
        <v>1516.64425</v>
      </c>
    </row>
    <row r="67" customFormat="false" ht="15" hidden="false" customHeight="false" outlineLevel="0" collapsed="false">
      <c r="A67" s="13" t="s">
        <v>93</v>
      </c>
      <c r="B67" s="14"/>
      <c r="C67" s="14"/>
      <c r="D67" s="14"/>
      <c r="E67" s="14"/>
      <c r="F67" s="13" t="s">
        <v>82</v>
      </c>
      <c r="G67" s="15" t="s">
        <v>39</v>
      </c>
    </row>
    <row r="68" customFormat="false" ht="25.5" hidden="false" customHeight="true" outlineLevel="0" collapsed="false">
      <c r="A68" s="5" t="s">
        <v>13</v>
      </c>
      <c r="B68" s="5" t="s">
        <v>15</v>
      </c>
      <c r="C68" s="5" t="s">
        <v>16</v>
      </c>
      <c r="D68" s="5" t="s">
        <v>83</v>
      </c>
      <c r="E68" s="5" t="s">
        <v>84</v>
      </c>
      <c r="F68" s="5" t="s">
        <v>85</v>
      </c>
      <c r="G68" s="5" t="s">
        <v>14</v>
      </c>
    </row>
    <row r="69" customFormat="false" ht="15" hidden="false" customHeight="false" outlineLevel="0" collapsed="false">
      <c r="A69" s="10" t="s">
        <v>20</v>
      </c>
      <c r="B69" s="6" t="str">
        <f aca="false">IFERROR(INDEX(Resources!$C$5:$C$42,MATCH(A69,Resources!$A$5:$A$42,0)),"")</f>
        <v>Cement, 50 kg bag</v>
      </c>
      <c r="C69" s="6" t="str">
        <f aca="false">IFERROR(INDEX(Resources!$D$5:$D$42,MATCH(A69,Resources!$A$5:$A$42,0)),"")</f>
        <v>bag</v>
      </c>
      <c r="D69" s="16" t="n">
        <v>0.22</v>
      </c>
      <c r="E69" s="9" t="n">
        <f aca="false">IFERROR(INDEX(Resources!$G$5:$G$42,MATCH(A69,Resources!$A$5:$A$42,0)),0)</f>
        <v>978.5</v>
      </c>
      <c r="F69" s="9" t="n">
        <f aca="false">D69*E69</f>
        <v>215.27</v>
      </c>
      <c r="G69" s="6" t="str">
        <f aca="false">IFERROR(INDEX(Resources!$B$5:$B$42,MATCH(A69,Resources!$A$5:$A$42,0)),"")</f>
        <v>Material</v>
      </c>
    </row>
    <row r="70" customFormat="false" ht="15" hidden="false" customHeight="false" outlineLevel="0" collapsed="false">
      <c r="A70" s="10" t="s">
        <v>24</v>
      </c>
      <c r="B70" s="6" t="str">
        <f aca="false">IFERROR(INDEX(Resources!$C$5:$C$42,MATCH(A70,Resources!$A$5:$A$42,0)),"")</f>
        <v>Sand (river / washed)</v>
      </c>
      <c r="C70" s="6" t="str">
        <f aca="false">IFERROR(INDEX(Resources!$D$5:$D$42,MATCH(A70,Resources!$A$5:$A$42,0)),"")</f>
        <v>m3</v>
      </c>
      <c r="D70" s="16" t="n">
        <v>0.03</v>
      </c>
      <c r="E70" s="9" t="n">
        <f aca="false">IFERROR(INDEX(Resources!$G$5:$G$42,MATCH(A70,Resources!$A$5:$A$42,0)),0)</f>
        <v>2310</v>
      </c>
      <c r="F70" s="9" t="n">
        <f aca="false">D70*E70</f>
        <v>69.3</v>
      </c>
      <c r="G70" s="6" t="str">
        <f aca="false">IFERROR(INDEX(Resources!$B$5:$B$42,MATCH(A70,Resources!$A$5:$A$42,0)),"")</f>
        <v>Material</v>
      </c>
    </row>
    <row r="71" customFormat="false" ht="15" hidden="false" customHeight="false" outlineLevel="0" collapsed="false">
      <c r="A71" s="10" t="s">
        <v>49</v>
      </c>
      <c r="B71" s="6" t="str">
        <f aca="false">IFERROR(INDEX(Resources!$C$5:$C$42,MATCH(A71,Resources!$A$5:$A$42,0)),"")</f>
        <v>Water</v>
      </c>
      <c r="C71" s="6" t="str">
        <f aca="false">IFERROR(INDEX(Resources!$D$5:$D$42,MATCH(A71,Resources!$A$5:$A$42,0)),"")</f>
        <v>m3</v>
      </c>
      <c r="D71" s="16" t="n">
        <v>0.01</v>
      </c>
      <c r="E71" s="9" t="n">
        <f aca="false">IFERROR(INDEX(Resources!$G$5:$G$42,MATCH(A71,Resources!$A$5:$A$42,0)),0)</f>
        <v>120</v>
      </c>
      <c r="F71" s="9" t="n">
        <f aca="false">D71*E71</f>
        <v>1.2</v>
      </c>
      <c r="G71" s="6" t="str">
        <f aca="false">IFERROR(INDEX(Resources!$B$5:$B$42,MATCH(A71,Resources!$A$5:$A$42,0)),"")</f>
        <v>Material</v>
      </c>
    </row>
    <row r="72" customFormat="false" ht="15" hidden="false" customHeight="false" outlineLevel="0" collapsed="false">
      <c r="A72" s="10" t="s">
        <v>55</v>
      </c>
      <c r="B72" s="6" t="str">
        <f aca="false">IFERROR(INDEX(Resources!$C$5:$C$42,MATCH(A72,Resources!$A$5:$A$42,0)),"")</f>
        <v>Mason</v>
      </c>
      <c r="C72" s="6" t="str">
        <f aca="false">IFERROR(INDEX(Resources!$D$5:$D$42,MATCH(A72,Resources!$A$5:$A$42,0)),"")</f>
        <v>day</v>
      </c>
      <c r="D72" s="16" t="n">
        <v>0.2</v>
      </c>
      <c r="E72" s="9" t="n">
        <f aca="false">IFERROR(INDEX(Resources!$G$5:$G$42,MATCH(A72,Resources!$A$5:$A$42,0)),0)</f>
        <v>800</v>
      </c>
      <c r="F72" s="9" t="n">
        <f aca="false">D72*E72</f>
        <v>160</v>
      </c>
      <c r="G72" s="6" t="str">
        <f aca="false">IFERROR(INDEX(Resources!$B$5:$B$42,MATCH(A72,Resources!$A$5:$A$42,0)),"")</f>
        <v>Labour</v>
      </c>
    </row>
    <row r="73" customFormat="false" ht="15" hidden="false" customHeight="false" outlineLevel="0" collapsed="false">
      <c r="A73" s="10" t="s">
        <v>65</v>
      </c>
      <c r="B73" s="6" t="str">
        <f aca="false">IFERROR(INDEX(Resources!$C$5:$C$42,MATCH(A73,Resources!$A$5:$A$42,0)),"")</f>
        <v>Unskilled labourer</v>
      </c>
      <c r="C73" s="6" t="str">
        <f aca="false">IFERROR(INDEX(Resources!$D$5:$D$42,MATCH(A73,Resources!$A$5:$A$42,0)),"")</f>
        <v>day</v>
      </c>
      <c r="D73" s="16" t="n">
        <v>0.15</v>
      </c>
      <c r="E73" s="9" t="n">
        <f aca="false">IFERROR(INDEX(Resources!$G$5:$G$42,MATCH(A73,Resources!$A$5:$A$42,0)),0)</f>
        <v>450</v>
      </c>
      <c r="F73" s="9" t="n">
        <f aca="false">D73*E73</f>
        <v>67.5</v>
      </c>
      <c r="G73" s="6" t="str">
        <f aca="false">IFERROR(INDEX(Resources!$B$5:$B$42,MATCH(A73,Resources!$A$5:$A$42,0)),"")</f>
        <v>Labour</v>
      </c>
    </row>
    <row r="74" customFormat="false" ht="15" hidden="false" customHeight="false" outlineLevel="0" collapsed="false">
      <c r="A74" s="10"/>
      <c r="B74" s="6" t="str">
        <f aca="false">IFERROR(INDEX(Resources!$C$5:$C$42,MATCH(A74,Resources!$A$5:$A$42,0)),"")</f>
        <v/>
      </c>
      <c r="C74" s="6" t="str">
        <f aca="false">IFERROR(INDEX(Resources!$D$5:$D$42,MATCH(A74,Resources!$A$5:$A$42,0)),"")</f>
        <v/>
      </c>
      <c r="D74" s="16"/>
      <c r="E74" s="9" t="n">
        <f aca="false">IFERROR(INDEX(Resources!$G$5:$G$42,MATCH(A74,Resources!$A$5:$A$42,0)),0)</f>
        <v>0</v>
      </c>
      <c r="F74" s="9" t="n">
        <f aca="false">D74*E74</f>
        <v>0</v>
      </c>
      <c r="G74" s="6" t="str">
        <f aca="false">IFERROR(INDEX(Resources!$B$5:$B$42,MATCH(A74,Resources!$A$5:$A$42,0)),"")</f>
        <v/>
      </c>
    </row>
    <row r="75" customFormat="false" ht="15" hidden="false" customHeight="false" outlineLevel="0" collapsed="false">
      <c r="A75" s="10"/>
      <c r="B75" s="6" t="str">
        <f aca="false">IFERROR(INDEX(Resources!$C$5:$C$42,MATCH(A75,Resources!$A$5:$A$42,0)),"")</f>
        <v/>
      </c>
      <c r="C75" s="6" t="str">
        <f aca="false">IFERROR(INDEX(Resources!$D$5:$D$42,MATCH(A75,Resources!$A$5:$A$42,0)),"")</f>
        <v/>
      </c>
      <c r="D75" s="16"/>
      <c r="E75" s="9" t="n">
        <f aca="false">IFERROR(INDEX(Resources!$G$5:$G$42,MATCH(A75,Resources!$A$5:$A$42,0)),0)</f>
        <v>0</v>
      </c>
      <c r="F75" s="9" t="n">
        <f aca="false">D75*E75</f>
        <v>0</v>
      </c>
      <c r="G75" s="6" t="str">
        <f aca="false">IFERROR(INDEX(Resources!$B$5:$B$42,MATCH(A75,Resources!$A$5:$A$42,0)),"")</f>
        <v/>
      </c>
    </row>
    <row r="76" customFormat="false" ht="15" hidden="false" customHeight="false" outlineLevel="0" collapsed="false">
      <c r="E76" s="12" t="s">
        <v>86</v>
      </c>
      <c r="F76" s="17" t="n">
        <f aca="false">SUM(F69:F75)</f>
        <v>513.27</v>
      </c>
    </row>
    <row r="77" customFormat="false" ht="15" hidden="false" customHeight="false" outlineLevel="0" collapsed="false">
      <c r="E77" s="12" t="s">
        <v>87</v>
      </c>
      <c r="F77" s="17" t="n">
        <f aca="false">F76*$C$3</f>
        <v>51.327</v>
      </c>
    </row>
    <row r="78" customFormat="false" ht="15" hidden="false" customHeight="false" outlineLevel="0" collapsed="false">
      <c r="E78" s="12" t="s">
        <v>88</v>
      </c>
      <c r="F78" s="17" t="n">
        <f aca="false">(F76+F77)*$C$4</f>
        <v>56.4597</v>
      </c>
    </row>
    <row r="79" customFormat="false" ht="15" hidden="false" customHeight="false" outlineLevel="0" collapsed="false">
      <c r="E79" s="18" t="s">
        <v>89</v>
      </c>
      <c r="F79" s="19" t="n">
        <f aca="false">F76+F77+F78</f>
        <v>621.0567</v>
      </c>
    </row>
    <row r="82" customFormat="false" ht="15" hidden="false" customHeight="false" outlineLevel="0" collapsed="false">
      <c r="A82" s="13" t="s">
        <v>94</v>
      </c>
      <c r="B82" s="14"/>
      <c r="C82" s="14"/>
      <c r="D82" s="14"/>
      <c r="E82" s="14"/>
      <c r="F82" s="13" t="s">
        <v>82</v>
      </c>
      <c r="G82" s="15" t="s">
        <v>39</v>
      </c>
    </row>
    <row r="83" customFormat="false" ht="25.5" hidden="false" customHeight="true" outlineLevel="0" collapsed="false">
      <c r="A83" s="5" t="s">
        <v>13</v>
      </c>
      <c r="B83" s="5" t="s">
        <v>15</v>
      </c>
      <c r="C83" s="5" t="s">
        <v>16</v>
      </c>
      <c r="D83" s="5" t="s">
        <v>83</v>
      </c>
      <c r="E83" s="5" t="s">
        <v>84</v>
      </c>
      <c r="F83" s="5" t="s">
        <v>85</v>
      </c>
      <c r="G83" s="5" t="s">
        <v>14</v>
      </c>
    </row>
    <row r="84" customFormat="false" ht="15" hidden="false" customHeight="false" outlineLevel="0" collapsed="false">
      <c r="A84" s="10" t="s">
        <v>40</v>
      </c>
      <c r="B84" s="6" t="str">
        <f aca="false">IFERROR(INDEX(Resources!$C$5:$C$42,MATCH(A84,Resources!$A$5:$A$42,0)),"")</f>
        <v>Ceramic floor tile</v>
      </c>
      <c r="C84" s="6" t="str">
        <f aca="false">IFERROR(INDEX(Resources!$D$5:$D$42,MATCH(A84,Resources!$A$5:$A$42,0)),"")</f>
        <v>m2</v>
      </c>
      <c r="D84" s="16" t="n">
        <v>1</v>
      </c>
      <c r="E84" s="9" t="n">
        <f aca="false">IFERROR(INDEX(Resources!$G$5:$G$42,MATCH(A84,Resources!$A$5:$A$42,0)),0)</f>
        <v>909.5</v>
      </c>
      <c r="F84" s="9" t="n">
        <f aca="false">D84*E84</f>
        <v>909.5</v>
      </c>
      <c r="G84" s="6" t="str">
        <f aca="false">IFERROR(INDEX(Resources!$B$5:$B$42,MATCH(A84,Resources!$A$5:$A$42,0)),"")</f>
        <v>Material</v>
      </c>
    </row>
    <row r="85" customFormat="false" ht="15" hidden="false" customHeight="false" outlineLevel="0" collapsed="false">
      <c r="A85" s="10" t="s">
        <v>42</v>
      </c>
      <c r="B85" s="6" t="str">
        <f aca="false">IFERROR(INDEX(Resources!$C$5:$C$42,MATCH(A85,Resources!$A$5:$A$42,0)),"")</f>
        <v>Tile adhesive, 25 kg bag</v>
      </c>
      <c r="C85" s="6" t="str">
        <f aca="false">IFERROR(INDEX(Resources!$D$5:$D$42,MATCH(A85,Resources!$A$5:$A$42,0)),"")</f>
        <v>bag</v>
      </c>
      <c r="D85" s="16" t="n">
        <v>0.18</v>
      </c>
      <c r="E85" s="9" t="n">
        <f aca="false">IFERROR(INDEX(Resources!$G$5:$G$42,MATCH(A85,Resources!$A$5:$A$42,0)),0)</f>
        <v>432.6</v>
      </c>
      <c r="F85" s="9" t="n">
        <f aca="false">D85*E85</f>
        <v>77.868</v>
      </c>
      <c r="G85" s="6" t="str">
        <f aca="false">IFERROR(INDEX(Resources!$B$5:$B$42,MATCH(A85,Resources!$A$5:$A$42,0)),"")</f>
        <v>Material</v>
      </c>
    </row>
    <row r="86" customFormat="false" ht="15" hidden="false" customHeight="false" outlineLevel="0" collapsed="false">
      <c r="A86" s="10" t="s">
        <v>63</v>
      </c>
      <c r="B86" s="6" t="str">
        <f aca="false">IFERROR(INDEX(Resources!$C$5:$C$42,MATCH(A86,Resources!$A$5:$A$42,0)),"")</f>
        <v>Tiler</v>
      </c>
      <c r="C86" s="6" t="str">
        <f aca="false">IFERROR(INDEX(Resources!$D$5:$D$42,MATCH(A86,Resources!$A$5:$A$42,0)),"")</f>
        <v>day</v>
      </c>
      <c r="D86" s="16" t="n">
        <v>0.3</v>
      </c>
      <c r="E86" s="9" t="n">
        <f aca="false">IFERROR(INDEX(Resources!$G$5:$G$42,MATCH(A86,Resources!$A$5:$A$42,0)),0)</f>
        <v>800</v>
      </c>
      <c r="F86" s="9" t="n">
        <f aca="false">D86*E86</f>
        <v>240</v>
      </c>
      <c r="G86" s="6" t="str">
        <f aca="false">IFERROR(INDEX(Resources!$B$5:$B$42,MATCH(A86,Resources!$A$5:$A$42,0)),"")</f>
        <v>Labour</v>
      </c>
    </row>
    <row r="87" customFormat="false" ht="15" hidden="false" customHeight="false" outlineLevel="0" collapsed="false">
      <c r="A87" s="10" t="s">
        <v>65</v>
      </c>
      <c r="B87" s="6" t="str">
        <f aca="false">IFERROR(INDEX(Resources!$C$5:$C$42,MATCH(A87,Resources!$A$5:$A$42,0)),"")</f>
        <v>Unskilled labourer</v>
      </c>
      <c r="C87" s="6" t="str">
        <f aca="false">IFERROR(INDEX(Resources!$D$5:$D$42,MATCH(A87,Resources!$A$5:$A$42,0)),"")</f>
        <v>day</v>
      </c>
      <c r="D87" s="16" t="n">
        <v>0.15</v>
      </c>
      <c r="E87" s="9" t="n">
        <f aca="false">IFERROR(INDEX(Resources!$G$5:$G$42,MATCH(A87,Resources!$A$5:$A$42,0)),0)</f>
        <v>450</v>
      </c>
      <c r="F87" s="9" t="n">
        <f aca="false">D87*E87</f>
        <v>67.5</v>
      </c>
      <c r="G87" s="6" t="str">
        <f aca="false">IFERROR(INDEX(Resources!$B$5:$B$42,MATCH(A87,Resources!$A$5:$A$42,0)),"")</f>
        <v>Labour</v>
      </c>
    </row>
    <row r="88" customFormat="false" ht="15" hidden="false" customHeight="false" outlineLevel="0" collapsed="false">
      <c r="A88" s="10"/>
      <c r="B88" s="6" t="str">
        <f aca="false">IFERROR(INDEX(Resources!$C$5:$C$42,MATCH(A88,Resources!$A$5:$A$42,0)),"")</f>
        <v/>
      </c>
      <c r="C88" s="6" t="str">
        <f aca="false">IFERROR(INDEX(Resources!$D$5:$D$42,MATCH(A88,Resources!$A$5:$A$42,0)),"")</f>
        <v/>
      </c>
      <c r="D88" s="16"/>
      <c r="E88" s="9" t="n">
        <f aca="false">IFERROR(INDEX(Resources!$G$5:$G$42,MATCH(A88,Resources!$A$5:$A$42,0)),0)</f>
        <v>0</v>
      </c>
      <c r="F88" s="9" t="n">
        <f aca="false">D88*E88</f>
        <v>0</v>
      </c>
      <c r="G88" s="6" t="str">
        <f aca="false">IFERROR(INDEX(Resources!$B$5:$B$42,MATCH(A88,Resources!$A$5:$A$42,0)),"")</f>
        <v/>
      </c>
    </row>
    <row r="89" customFormat="false" ht="15" hidden="false" customHeight="false" outlineLevel="0" collapsed="false">
      <c r="A89" s="10"/>
      <c r="B89" s="6" t="str">
        <f aca="false">IFERROR(INDEX(Resources!$C$5:$C$42,MATCH(A89,Resources!$A$5:$A$42,0)),"")</f>
        <v/>
      </c>
      <c r="C89" s="6" t="str">
        <f aca="false">IFERROR(INDEX(Resources!$D$5:$D$42,MATCH(A89,Resources!$A$5:$A$42,0)),"")</f>
        <v/>
      </c>
      <c r="D89" s="16"/>
      <c r="E89" s="9" t="n">
        <f aca="false">IFERROR(INDEX(Resources!$G$5:$G$42,MATCH(A89,Resources!$A$5:$A$42,0)),0)</f>
        <v>0</v>
      </c>
      <c r="F89" s="9" t="n">
        <f aca="false">D89*E89</f>
        <v>0</v>
      </c>
      <c r="G89" s="6" t="str">
        <f aca="false">IFERROR(INDEX(Resources!$B$5:$B$42,MATCH(A89,Resources!$A$5:$A$42,0)),"")</f>
        <v/>
      </c>
    </row>
    <row r="90" customFormat="false" ht="15" hidden="false" customHeight="false" outlineLevel="0" collapsed="false">
      <c r="E90" s="12" t="s">
        <v>86</v>
      </c>
      <c r="F90" s="17" t="n">
        <f aca="false">SUM(F84:F89)</f>
        <v>1294.868</v>
      </c>
    </row>
    <row r="91" customFormat="false" ht="15" hidden="false" customHeight="false" outlineLevel="0" collapsed="false">
      <c r="E91" s="12" t="s">
        <v>87</v>
      </c>
      <c r="F91" s="17" t="n">
        <f aca="false">F90*$C$3</f>
        <v>129.4868</v>
      </c>
    </row>
    <row r="92" customFormat="false" ht="15" hidden="false" customHeight="false" outlineLevel="0" collapsed="false">
      <c r="E92" s="12" t="s">
        <v>88</v>
      </c>
      <c r="F92" s="17" t="n">
        <f aca="false">(F90+F91)*$C$4</f>
        <v>142.43548</v>
      </c>
    </row>
    <row r="93" customFormat="false" ht="15" hidden="false" customHeight="false" outlineLevel="0" collapsed="false">
      <c r="E93" s="18" t="s">
        <v>89</v>
      </c>
      <c r="F93" s="19" t="n">
        <f aca="false">F90+F91+F92</f>
        <v>1566.79028</v>
      </c>
    </row>
    <row r="96" customFormat="false" ht="15" hidden="false" customHeight="false" outlineLevel="0" collapsed="false">
      <c r="A96" s="13" t="s">
        <v>95</v>
      </c>
      <c r="B96" s="14"/>
      <c r="C96" s="14"/>
      <c r="D96" s="14"/>
      <c r="E96" s="14"/>
      <c r="F96" s="13" t="s">
        <v>82</v>
      </c>
      <c r="G96" s="15" t="s">
        <v>39</v>
      </c>
    </row>
    <row r="97" customFormat="false" ht="25.5" hidden="false" customHeight="true" outlineLevel="0" collapsed="false">
      <c r="A97" s="5" t="s">
        <v>13</v>
      </c>
      <c r="B97" s="5" t="s">
        <v>15</v>
      </c>
      <c r="C97" s="5" t="s">
        <v>16</v>
      </c>
      <c r="D97" s="5" t="s">
        <v>83</v>
      </c>
      <c r="E97" s="5" t="s">
        <v>84</v>
      </c>
      <c r="F97" s="5" t="s">
        <v>85</v>
      </c>
      <c r="G97" s="5" t="s">
        <v>14</v>
      </c>
    </row>
    <row r="98" customFormat="false" ht="15" hidden="false" customHeight="false" outlineLevel="0" collapsed="false">
      <c r="A98" s="10" t="s">
        <v>47</v>
      </c>
      <c r="B98" s="6" t="str">
        <f aca="false">IFERROR(INDEX(Resources!$C$5:$C$42,MATCH(A98,Resources!$A$5:$A$42,0)),"")</f>
        <v>Plaster primer / sealer</v>
      </c>
      <c r="C98" s="6" t="str">
        <f aca="false">IFERROR(INDEX(Resources!$D$5:$D$42,MATCH(A98,Resources!$A$5:$A$42,0)),"")</f>
        <v>L</v>
      </c>
      <c r="D98" s="16" t="n">
        <v>0.1</v>
      </c>
      <c r="E98" s="9" t="n">
        <f aca="false">IFERROR(INDEX(Resources!$G$5:$G$42,MATCH(A98,Resources!$A$5:$A$42,0)),0)</f>
        <v>3360</v>
      </c>
      <c r="F98" s="9" t="n">
        <f aca="false">D98*E98</f>
        <v>336</v>
      </c>
      <c r="G98" s="6" t="str">
        <f aca="false">IFERROR(INDEX(Resources!$B$5:$B$42,MATCH(A98,Resources!$A$5:$A$42,0)),"")</f>
        <v>Material</v>
      </c>
    </row>
    <row r="99" customFormat="false" ht="15" hidden="false" customHeight="false" outlineLevel="0" collapsed="false">
      <c r="A99" s="10" t="s">
        <v>44</v>
      </c>
      <c r="B99" s="6" t="str">
        <f aca="false">IFERROR(INDEX(Resources!$C$5:$C$42,MATCH(A99,Resources!$A$5:$A$42,0)),"")</f>
        <v>Emulsion paint, 20 L</v>
      </c>
      <c r="C99" s="6" t="str">
        <f aca="false">IFERROR(INDEX(Resources!$D$5:$D$42,MATCH(A99,Resources!$A$5:$A$42,0)),"")</f>
        <v>L</v>
      </c>
      <c r="D99" s="16" t="n">
        <v>0.07</v>
      </c>
      <c r="E99" s="9" t="n">
        <f aca="false">IFERROR(INDEX(Resources!$G$5:$G$42,MATCH(A99,Resources!$A$5:$A$42,0)),0)</f>
        <v>5040</v>
      </c>
      <c r="F99" s="9" t="n">
        <f aca="false">D99*E99</f>
        <v>352.8</v>
      </c>
      <c r="G99" s="6" t="str">
        <f aca="false">IFERROR(INDEX(Resources!$B$5:$B$42,MATCH(A99,Resources!$A$5:$A$42,0)),"")</f>
        <v>Material</v>
      </c>
    </row>
    <row r="100" customFormat="false" ht="15" hidden="false" customHeight="false" outlineLevel="0" collapsed="false">
      <c r="A100" s="10" t="s">
        <v>61</v>
      </c>
      <c r="B100" s="6" t="str">
        <f aca="false">IFERROR(INDEX(Resources!$C$5:$C$42,MATCH(A100,Resources!$A$5:$A$42,0)),"")</f>
        <v>Painter</v>
      </c>
      <c r="C100" s="6" t="str">
        <f aca="false">IFERROR(INDEX(Resources!$D$5:$D$42,MATCH(A100,Resources!$A$5:$A$42,0)),"")</f>
        <v>day</v>
      </c>
      <c r="D100" s="16" t="n">
        <v>0.1</v>
      </c>
      <c r="E100" s="9" t="n">
        <f aca="false">IFERROR(INDEX(Resources!$G$5:$G$42,MATCH(A100,Resources!$A$5:$A$42,0)),0)</f>
        <v>700</v>
      </c>
      <c r="F100" s="9" t="n">
        <f aca="false">D100*E100</f>
        <v>70</v>
      </c>
      <c r="G100" s="6" t="str">
        <f aca="false">IFERROR(INDEX(Resources!$B$5:$B$42,MATCH(A100,Resources!$A$5:$A$42,0)),"")</f>
        <v>Labour</v>
      </c>
    </row>
    <row r="101" customFormat="false" ht="15" hidden="false" customHeight="false" outlineLevel="0" collapsed="false">
      <c r="A101" s="10" t="s">
        <v>65</v>
      </c>
      <c r="B101" s="6" t="str">
        <f aca="false">IFERROR(INDEX(Resources!$C$5:$C$42,MATCH(A101,Resources!$A$5:$A$42,0)),"")</f>
        <v>Unskilled labourer</v>
      </c>
      <c r="C101" s="6" t="str">
        <f aca="false">IFERROR(INDEX(Resources!$D$5:$D$42,MATCH(A101,Resources!$A$5:$A$42,0)),"")</f>
        <v>day</v>
      </c>
      <c r="D101" s="16" t="n">
        <v>0.03</v>
      </c>
      <c r="E101" s="9" t="n">
        <f aca="false">IFERROR(INDEX(Resources!$G$5:$G$42,MATCH(A101,Resources!$A$5:$A$42,0)),0)</f>
        <v>450</v>
      </c>
      <c r="F101" s="9" t="n">
        <f aca="false">D101*E101</f>
        <v>13.5</v>
      </c>
      <c r="G101" s="6" t="str">
        <f aca="false">IFERROR(INDEX(Resources!$B$5:$B$42,MATCH(A101,Resources!$A$5:$A$42,0)),"")</f>
        <v>Labour</v>
      </c>
    </row>
    <row r="102" customFormat="false" ht="15" hidden="false" customHeight="false" outlineLevel="0" collapsed="false">
      <c r="A102" s="10"/>
      <c r="B102" s="6" t="str">
        <f aca="false">IFERROR(INDEX(Resources!$C$5:$C$42,MATCH(A102,Resources!$A$5:$A$42,0)),"")</f>
        <v/>
      </c>
      <c r="C102" s="6" t="str">
        <f aca="false">IFERROR(INDEX(Resources!$D$5:$D$42,MATCH(A102,Resources!$A$5:$A$42,0)),"")</f>
        <v/>
      </c>
      <c r="D102" s="16"/>
      <c r="E102" s="9" t="n">
        <f aca="false">IFERROR(INDEX(Resources!$G$5:$G$42,MATCH(A102,Resources!$A$5:$A$42,0)),0)</f>
        <v>0</v>
      </c>
      <c r="F102" s="9" t="n">
        <f aca="false">D102*E102</f>
        <v>0</v>
      </c>
      <c r="G102" s="6" t="str">
        <f aca="false">IFERROR(INDEX(Resources!$B$5:$B$42,MATCH(A102,Resources!$A$5:$A$42,0)),"")</f>
        <v/>
      </c>
    </row>
    <row r="103" customFormat="false" ht="15" hidden="false" customHeight="false" outlineLevel="0" collapsed="false">
      <c r="A103" s="10"/>
      <c r="B103" s="6" t="str">
        <f aca="false">IFERROR(INDEX(Resources!$C$5:$C$42,MATCH(A103,Resources!$A$5:$A$42,0)),"")</f>
        <v/>
      </c>
      <c r="C103" s="6" t="str">
        <f aca="false">IFERROR(INDEX(Resources!$D$5:$D$42,MATCH(A103,Resources!$A$5:$A$42,0)),"")</f>
        <v/>
      </c>
      <c r="D103" s="16"/>
      <c r="E103" s="9" t="n">
        <f aca="false">IFERROR(INDEX(Resources!$G$5:$G$42,MATCH(A103,Resources!$A$5:$A$42,0)),0)</f>
        <v>0</v>
      </c>
      <c r="F103" s="9" t="n">
        <f aca="false">D103*E103</f>
        <v>0</v>
      </c>
      <c r="G103" s="6" t="str">
        <f aca="false">IFERROR(INDEX(Resources!$B$5:$B$42,MATCH(A103,Resources!$A$5:$A$42,0)),"")</f>
        <v/>
      </c>
    </row>
    <row r="104" customFormat="false" ht="15" hidden="false" customHeight="false" outlineLevel="0" collapsed="false">
      <c r="E104" s="12" t="s">
        <v>86</v>
      </c>
      <c r="F104" s="17" t="n">
        <f aca="false">SUM(F98:F103)</f>
        <v>772.3</v>
      </c>
    </row>
    <row r="105" customFormat="false" ht="15" hidden="false" customHeight="false" outlineLevel="0" collapsed="false">
      <c r="E105" s="12" t="s">
        <v>87</v>
      </c>
      <c r="F105" s="17" t="n">
        <f aca="false">F104*$C$3</f>
        <v>77.23</v>
      </c>
    </row>
    <row r="106" customFormat="false" ht="15" hidden="false" customHeight="false" outlineLevel="0" collapsed="false">
      <c r="E106" s="12" t="s">
        <v>88</v>
      </c>
      <c r="F106" s="17" t="n">
        <f aca="false">(F104+F105)*$C$4</f>
        <v>84.953</v>
      </c>
    </row>
    <row r="107" customFormat="false" ht="15" hidden="false" customHeight="false" outlineLevel="0" collapsed="false">
      <c r="E107" s="18" t="s">
        <v>89</v>
      </c>
      <c r="F107" s="19" t="n">
        <f aca="false">F104+F105+F106</f>
        <v>934.483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3" min="3" style="0" width="20"/>
  </cols>
  <sheetData>
    <row r="1" customFormat="false" ht="18.55" hidden="false" customHeight="false" outlineLevel="0" collapsed="false">
      <c r="A1" s="1" t="s">
        <v>96</v>
      </c>
    </row>
    <row r="2" customFormat="false" ht="15" hidden="false" customHeight="false" outlineLevel="0" collapsed="false">
      <c r="A2" s="2" t="s">
        <v>97</v>
      </c>
    </row>
    <row r="4" customFormat="false" ht="25.5" hidden="false" customHeight="true" outlineLevel="0" collapsed="false">
      <c r="A4" s="5" t="s">
        <v>98</v>
      </c>
      <c r="B4" s="5" t="s">
        <v>16</v>
      </c>
      <c r="C4" s="5" t="s">
        <v>99</v>
      </c>
    </row>
    <row r="5" customFormat="false" ht="15" hidden="false" customHeight="false" outlineLevel="0" collapsed="false">
      <c r="A5" s="6" t="s">
        <v>81</v>
      </c>
      <c r="B5" s="6" t="s">
        <v>26</v>
      </c>
      <c r="C5" s="17" t="n">
        <f aca="false">'Rate Analysis'!F21</f>
        <v>15102.131</v>
      </c>
    </row>
    <row r="6" customFormat="false" ht="15" hidden="false" customHeight="false" outlineLevel="0" collapsed="false">
      <c r="A6" s="6" t="s">
        <v>90</v>
      </c>
      <c r="B6" s="6" t="s">
        <v>31</v>
      </c>
      <c r="C6" s="17" t="n">
        <f aca="false">'Rate Analysis'!F35</f>
        <v>139.79856</v>
      </c>
    </row>
    <row r="7" customFormat="false" ht="15" hidden="false" customHeight="false" outlineLevel="0" collapsed="false">
      <c r="A7" s="6" t="s">
        <v>91</v>
      </c>
      <c r="B7" s="6" t="s">
        <v>39</v>
      </c>
      <c r="C7" s="17" t="n">
        <f aca="false">'Rate Analysis'!F48</f>
        <v>898.425</v>
      </c>
    </row>
    <row r="8" customFormat="false" ht="15" hidden="false" customHeight="false" outlineLevel="0" collapsed="false">
      <c r="A8" s="6" t="s">
        <v>92</v>
      </c>
      <c r="B8" s="6" t="s">
        <v>39</v>
      </c>
      <c r="C8" s="17" t="n">
        <f aca="false">'Rate Analysis'!F64</f>
        <v>1516.64425</v>
      </c>
    </row>
    <row r="9" customFormat="false" ht="15" hidden="false" customHeight="false" outlineLevel="0" collapsed="false">
      <c r="A9" s="6" t="s">
        <v>93</v>
      </c>
      <c r="B9" s="6" t="s">
        <v>39</v>
      </c>
      <c r="C9" s="17" t="n">
        <f aca="false">'Rate Analysis'!F79</f>
        <v>621.0567</v>
      </c>
    </row>
    <row r="10" customFormat="false" ht="15" hidden="false" customHeight="false" outlineLevel="0" collapsed="false">
      <c r="A10" s="6" t="s">
        <v>94</v>
      </c>
      <c r="B10" s="6" t="s">
        <v>39</v>
      </c>
      <c r="C10" s="17" t="n">
        <f aca="false">'Rate Analysis'!F93</f>
        <v>1566.79028</v>
      </c>
    </row>
    <row r="11" customFormat="false" ht="15" hidden="false" customHeight="false" outlineLevel="0" collapsed="false">
      <c r="A11" s="6" t="s">
        <v>95</v>
      </c>
      <c r="B11" s="6" t="s">
        <v>39</v>
      </c>
      <c r="C11" s="17" t="n">
        <f aca="false">'Rate Analysis'!F107</f>
        <v>934.483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2026-10-17T14:40:58Z</dcterms:created>
  <dc:creator>openpyxl</dc:creator>
  <dc:description/>
  <dc:language>en-US</dc:language>
  <cp:lastModifiedBy/>
  <dcterms:modified xsi:type="dcterms:W3CDTF">2026-10-17T14:40:58Z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