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PC" sheetId="2" state="visible" r:id="rId4"/>
    <sheet name="Progres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<sst xmlns="http://schemas.openxmlformats.org/spreadsheetml/2006/main" count="109" uniqueCount="101">
  <si>
    <t xml:space="preserve">Interim Payment Certificate (IPC) Template</t>
  </si>
  <si>
    <t xml:space="preserve">Norden Trading Plc  |  Contractor payment application and certificate</t>
  </si>
  <si>
    <t xml:space="preserve">HOW TO USE</t>
  </si>
  <si>
    <t xml:space="preserve">1.  'Progress' sheet: list your contract BOQ items with contract quantity and rate. Each month, enter 'Previous qty' (cumulative qty certified before) and 'This period qty'.</t>
  </si>
  <si>
    <t xml:space="preserve">2.  'IPC' sheet: fill in the project details and percentages in the shaded cells. The certificate calculates itself from the Progress sheet.</t>
  </si>
  <si>
    <t xml:space="preserve">3.  For the next certificate: copy 'Cumulative qty' into 'Previous qty' (values only), clear 'This period qty', and enter 'Previously certified (net before VAT)' on the IPC sheet.</t>
  </si>
  <si>
    <t xml:space="preserve">COLOUR CODE:  Blue text on a pale-yellow cell = you type here.  Black = formula.</t>
  </si>
  <si>
    <t xml:space="preserve">IMPORTANT</t>
  </si>
  <si>
    <t xml:space="preserve">•  Retention %, advance payment recovery, VAT and withholding tax defaults are placeholders. Set them exactly as your contract and current Ethiopian tax rules require, and confirm with your accountant.</t>
  </si>
  <si>
    <t xml:space="preserve">•  Order of deductions differs between contracts. This template: retention and advance recovery on gross value to date; VAT added to this certificate; withholding tax deducted from the pre-VAT amount.</t>
  </si>
  <si>
    <t xml:space="preserve">•  Always check the result against the contract's payment clause before issuing.</t>
  </si>
  <si>
    <t xml:space="preserve">INTERIM PAYMENT CERTIFICATE</t>
  </si>
  <si>
    <t xml:space="preserve">All amounts in ETB unless stated</t>
  </si>
  <si>
    <t xml:space="preserve">Project</t>
  </si>
  <si>
    <t xml:space="preserve">Client / Employer</t>
  </si>
  <si>
    <t xml:space="preserve">Contractor</t>
  </si>
  <si>
    <t xml:space="preserve">Contract No.</t>
  </si>
  <si>
    <t xml:space="preserve">Certificate No.</t>
  </si>
  <si>
    <t xml:space="preserve">Certificate date</t>
  </si>
  <si>
    <t xml:space="preserve">Period covered</t>
  </si>
  <si>
    <t xml:space="preserve">PERCENTAGES AND INPUTS</t>
  </si>
  <si>
    <t xml:space="preserve">Retention % (of gross value to date)</t>
  </si>
  <si>
    <t xml:space="preserve">Advance payment received (ETB)</t>
  </si>
  <si>
    <t xml:space="preserve">VAT %</t>
  </si>
  <si>
    <t xml:space="preserve">Withholding tax % (on pre-VAT amount)</t>
  </si>
  <si>
    <t xml:space="preserve">Materials on site (ETB, if payable under contract)</t>
  </si>
  <si>
    <t xml:space="preserve">Previously certified — net before VAT (ETB)</t>
  </si>
  <si>
    <t xml:space="preserve">CERTIFICATE CALCULATION</t>
  </si>
  <si>
    <t xml:space="preserve">Ref</t>
  </si>
  <si>
    <t xml:space="preserve">Description</t>
  </si>
  <si>
    <t xml:space="preserve">Amount (ETB)</t>
  </si>
  <si>
    <t xml:space="preserve">A</t>
  </si>
  <si>
    <t xml:space="preserve">Contract sum (from Progress sheet)</t>
  </si>
  <si>
    <t xml:space="preserve">B</t>
  </si>
  <si>
    <t xml:space="preserve">Gross value of work done to date</t>
  </si>
  <si>
    <t xml:space="preserve">C</t>
  </si>
  <si>
    <t xml:space="preserve">Add: materials on site</t>
  </si>
  <si>
    <t xml:space="preserve">D</t>
  </si>
  <si>
    <t xml:space="preserve">Total gross value to date</t>
  </si>
  <si>
    <t xml:space="preserve">E</t>
  </si>
  <si>
    <t xml:space="preserve">Less: retention</t>
  </si>
  <si>
    <t xml:space="preserve">F</t>
  </si>
  <si>
    <t xml:space="preserve">Less: advance payment recovered (pro-rata to progress)</t>
  </si>
  <si>
    <t xml:space="preserve">G</t>
  </si>
  <si>
    <t xml:space="preserve">Net value due to date (before VAT)</t>
  </si>
  <si>
    <t xml:space="preserve">H</t>
  </si>
  <si>
    <t xml:space="preserve">Less: previously certified (before VAT)</t>
  </si>
  <si>
    <t xml:space="preserve">I</t>
  </si>
  <si>
    <t xml:space="preserve">This certificate — net before VAT</t>
  </si>
  <si>
    <t xml:space="preserve">J</t>
  </si>
  <si>
    <t xml:space="preserve">Add: VAT</t>
  </si>
  <si>
    <t xml:space="preserve">K</t>
  </si>
  <si>
    <t xml:space="preserve">Gross amount of this certificate (incl. VAT)</t>
  </si>
  <si>
    <t xml:space="preserve">L</t>
  </si>
  <si>
    <t xml:space="preserve">Less: withholding tax</t>
  </si>
  <si>
    <t xml:space="preserve">M</t>
  </si>
  <si>
    <t xml:space="preserve">NET AMOUNT PAYABLE</t>
  </si>
  <si>
    <t xml:space="preserve">Checks</t>
  </si>
  <si>
    <t xml:space="preserve">Work done to date as % of contract sum</t>
  </si>
  <si>
    <t xml:space="preserve">Prepared by: ______________________</t>
  </si>
  <si>
    <t xml:space="preserve">Checked by: ______________________</t>
  </si>
  <si>
    <t xml:space="preserve">Approved by: ______________________</t>
  </si>
  <si>
    <t xml:space="preserve">Work Progress — Bill of Quantities Measurement</t>
  </si>
  <si>
    <t xml:space="preserve">Cumulative value of work done to date</t>
  </si>
  <si>
    <t xml:space="preserve">Item</t>
  </si>
  <si>
    <t xml:space="preserve">Unit</t>
  </si>
  <si>
    <t xml:space="preserve">Contract qty</t>
  </si>
  <si>
    <t xml:space="preserve">Rate (ETB)</t>
  </si>
  <si>
    <t xml:space="preserve">Contract amount</t>
  </si>
  <si>
    <t xml:space="preserve">Previous qty</t>
  </si>
  <si>
    <t xml:space="preserve">This period qty</t>
  </si>
  <si>
    <t xml:space="preserve">Cumulative qty</t>
  </si>
  <si>
    <t xml:space="preserve">Cumulative amount</t>
  </si>
  <si>
    <t xml:space="preserve">% complete</t>
  </si>
  <si>
    <t xml:space="preserve">2.01</t>
  </si>
  <si>
    <t xml:space="preserve">Excavation for foundations</t>
  </si>
  <si>
    <t xml:space="preserve">m3</t>
  </si>
  <si>
    <t xml:space="preserve">2.02</t>
  </si>
  <si>
    <t xml:space="preserve">Reinforced concrete C-25 in footings</t>
  </si>
  <si>
    <t xml:space="preserve">2.03</t>
  </si>
  <si>
    <t xml:space="preserve">Reinforcement steel</t>
  </si>
  <si>
    <t xml:space="preserve">kg</t>
  </si>
  <si>
    <t xml:space="preserve">3.01</t>
  </si>
  <si>
    <t xml:space="preserve">Reinforced concrete C-25 in columns</t>
  </si>
  <si>
    <t xml:space="preserve">3.02</t>
  </si>
  <si>
    <t xml:space="preserve">Reinforced concrete C-25 in slabs</t>
  </si>
  <si>
    <t xml:space="preserve">3.03</t>
  </si>
  <si>
    <t xml:space="preserve">200 mm hollow concrete block walling</t>
  </si>
  <si>
    <t xml:space="preserve">m2</t>
  </si>
  <si>
    <t xml:space="preserve">5.01</t>
  </si>
  <si>
    <t xml:space="preserve">Cement sand plaster, internal</t>
  </si>
  <si>
    <t xml:space="preserve">5.02</t>
  </si>
  <si>
    <t xml:space="preserve">Ceramic floor tiles</t>
  </si>
  <si>
    <t xml:space="preserve">5.03</t>
  </si>
  <si>
    <t xml:space="preserve">Emulsion paint, internal</t>
  </si>
  <si>
    <t xml:space="preserve">6.01</t>
  </si>
  <si>
    <t xml:space="preserve">Timber doors incl. frame</t>
  </si>
  <si>
    <t xml:space="preserve">no</t>
  </si>
  <si>
    <t xml:space="preserve">6.02</t>
  </si>
  <si>
    <t xml:space="preserve">Aluminium windows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</si>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</sst>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0;\(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1C2E"/>
      <name val="Arial"/>
      <family val="0"/>
      <charset val="1"/>
    </font>
    <font>
      <i val="true"/>
      <sz val="9"/>
      <color rgb="FF5F6B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41C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5A1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5A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41C2E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4CC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1F"/>
      <rgbColor rgb="FF5F6B7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1C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23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3" t="s">
        <v>7</v>
      </c>
    </row>
    <row r="12" customFormat="false" ht="23.85" hidden="false" customHeight="false" outlineLevel="0" collapsed="false">
      <c r="A12" s="4" t="s">
        <v>8</v>
      </c>
    </row>
    <row r="13" customFormat="false" ht="23.8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2"/>
    <col collapsed="false" customWidth="true" hidden="false" outlineLevel="0" max="3" min="3" style="0" width="22"/>
  </cols>
  <sheetData>
    <row r="1" customFormat="false" ht="18.5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3" customFormat="false" ht="15" hidden="false" customHeight="false" outlineLevel="0" collapsed="false">
      <c r="A3" s="5" t="s">
        <v>13</v>
      </c>
      <c r="B3" s="6"/>
      <c r="C3" s="6"/>
    </row>
    <row r="4" customFormat="false" ht="15" hidden="false" customHeight="false" outlineLevel="0" collapsed="false">
      <c r="A4" s="5" t="s">
        <v>14</v>
      </c>
      <c r="B4" s="6"/>
      <c r="C4" s="6"/>
    </row>
    <row r="5" customFormat="false" ht="15" hidden="false" customHeight="false" outlineLevel="0" collapsed="false">
      <c r="A5" s="5" t="s">
        <v>15</v>
      </c>
      <c r="B5" s="6"/>
      <c r="C5" s="6"/>
    </row>
    <row r="6" customFormat="false" ht="15" hidden="false" customHeight="false" outlineLevel="0" collapsed="false">
      <c r="A6" s="5" t="s">
        <v>16</v>
      </c>
      <c r="B6" s="6"/>
      <c r="C6" s="6"/>
    </row>
    <row r="7" customFormat="false" ht="15" hidden="false" customHeight="false" outlineLevel="0" collapsed="false">
      <c r="A7" s="5" t="s">
        <v>17</v>
      </c>
      <c r="B7" s="6" t="n">
        <v>1</v>
      </c>
      <c r="C7" s="6"/>
    </row>
    <row r="8" customFormat="false" ht="15" hidden="false" customHeight="false" outlineLevel="0" collapsed="false">
      <c r="A8" s="5" t="s">
        <v>18</v>
      </c>
      <c r="B8" s="6"/>
      <c r="C8" s="6"/>
    </row>
    <row r="9" customFormat="false" ht="15" hidden="false" customHeight="false" outlineLevel="0" collapsed="false">
      <c r="A9" s="5" t="s">
        <v>19</v>
      </c>
      <c r="B9" s="6"/>
      <c r="C9" s="6"/>
    </row>
    <row r="11" customFormat="false" ht="15" hidden="false" customHeight="false" outlineLevel="0" collapsed="false">
      <c r="A11" s="7" t="s">
        <v>20</v>
      </c>
    </row>
    <row r="12" customFormat="false" ht="15" hidden="false" customHeight="false" outlineLevel="0" collapsed="false">
      <c r="A12" s="8" t="s">
        <v>21</v>
      </c>
      <c r="C12" s="9" t="n">
        <v>0.05</v>
      </c>
    </row>
    <row r="13" customFormat="false" ht="15" hidden="false" customHeight="false" outlineLevel="0" collapsed="false">
      <c r="A13" s="8" t="s">
        <v>22</v>
      </c>
      <c r="C13" s="10" t="n">
        <v>0</v>
      </c>
    </row>
    <row r="14" customFormat="false" ht="15" hidden="false" customHeight="false" outlineLevel="0" collapsed="false">
      <c r="A14" s="8" t="s">
        <v>23</v>
      </c>
      <c r="C14" s="9" t="n">
        <v>0.15</v>
      </c>
    </row>
    <row r="15" customFormat="false" ht="15" hidden="false" customHeight="false" outlineLevel="0" collapsed="false">
      <c r="A15" s="8" t="s">
        <v>24</v>
      </c>
      <c r="C15" s="9" t="n">
        <v>0.02</v>
      </c>
    </row>
    <row r="16" customFormat="false" ht="15" hidden="false" customHeight="false" outlineLevel="0" collapsed="false">
      <c r="A16" s="8" t="s">
        <v>25</v>
      </c>
      <c r="C16" s="10" t="n">
        <v>0</v>
      </c>
    </row>
    <row r="17" customFormat="false" ht="15" hidden="false" customHeight="false" outlineLevel="0" collapsed="false">
      <c r="A17" s="8" t="s">
        <v>26</v>
      </c>
      <c r="C17" s="10" t="n">
        <v>0</v>
      </c>
    </row>
    <row r="19" customFormat="false" ht="15" hidden="false" customHeight="false" outlineLevel="0" collapsed="false">
      <c r="A19" s="7" t="s">
        <v>27</v>
      </c>
    </row>
    <row r="20" customFormat="false" ht="25.5" hidden="false" customHeight="true" outlineLevel="0" collapsed="false">
      <c r="A20" s="11" t="s">
        <v>28</v>
      </c>
      <c r="B20" s="11" t="s">
        <v>29</v>
      </c>
      <c r="C20" s="11" t="s">
        <v>30</v>
      </c>
    </row>
    <row r="21" customFormat="false" ht="15" hidden="false" customHeight="false" outlineLevel="0" collapsed="false">
      <c r="A21" s="12" t="s">
        <v>31</v>
      </c>
      <c r="B21" s="13" t="s">
        <v>32</v>
      </c>
      <c r="C21" s="14" t="n">
        <f aca="false">Progress!F26</f>
        <v>0</v>
      </c>
    </row>
    <row r="22" customFormat="false" ht="15" hidden="false" customHeight="false" outlineLevel="0" collapsed="false">
      <c r="A22" s="12" t="s">
        <v>33</v>
      </c>
      <c r="B22" s="13" t="s">
        <v>34</v>
      </c>
      <c r="C22" s="14" t="n">
        <f aca="false">Progress!J26</f>
        <v>0</v>
      </c>
    </row>
    <row r="23" customFormat="false" ht="15" hidden="false" customHeight="false" outlineLevel="0" collapsed="false">
      <c r="A23" s="12" t="s">
        <v>35</v>
      </c>
      <c r="B23" s="13" t="s">
        <v>36</v>
      </c>
      <c r="C23" s="14" t="n">
        <f aca="false">C16</f>
        <v>0</v>
      </c>
    </row>
    <row r="24" customFormat="false" ht="15" hidden="false" customHeight="false" outlineLevel="0" collapsed="false">
      <c r="A24" s="12" t="s">
        <v>37</v>
      </c>
      <c r="B24" s="12" t="s">
        <v>38</v>
      </c>
      <c r="C24" s="15" t="n">
        <f aca="false">C22+C23</f>
        <v>0</v>
      </c>
    </row>
    <row r="25" customFormat="false" ht="15" hidden="false" customHeight="false" outlineLevel="0" collapsed="false">
      <c r="A25" s="12" t="s">
        <v>39</v>
      </c>
      <c r="B25" s="13" t="s">
        <v>40</v>
      </c>
      <c r="C25" s="14" t="n">
        <f aca="false">-C24*C12</f>
        <v>-0</v>
      </c>
    </row>
    <row r="26" customFormat="false" ht="15" hidden="false" customHeight="false" outlineLevel="0" collapsed="false">
      <c r="A26" s="12" t="s">
        <v>41</v>
      </c>
      <c r="B26" s="13" t="s">
        <v>42</v>
      </c>
      <c r="C26" s="14" t="n">
        <f aca="false">IF(C21=0,0,-MIN(C13,C13*C24/C21))</f>
        <v>0</v>
      </c>
    </row>
    <row r="27" customFormat="false" ht="15" hidden="false" customHeight="false" outlineLevel="0" collapsed="false">
      <c r="A27" s="12" t="s">
        <v>43</v>
      </c>
      <c r="B27" s="12" t="s">
        <v>44</v>
      </c>
      <c r="C27" s="15" t="n">
        <f aca="false">C24+C25+C26</f>
        <v>0</v>
      </c>
    </row>
    <row r="28" customFormat="false" ht="15" hidden="false" customHeight="false" outlineLevel="0" collapsed="false">
      <c r="A28" s="12" t="s">
        <v>45</v>
      </c>
      <c r="B28" s="13" t="s">
        <v>46</v>
      </c>
      <c r="C28" s="14" t="n">
        <f aca="false">-C17</f>
        <v>-0</v>
      </c>
    </row>
    <row r="29" customFormat="false" ht="15" hidden="false" customHeight="false" outlineLevel="0" collapsed="false">
      <c r="A29" s="12" t="s">
        <v>47</v>
      </c>
      <c r="B29" s="12" t="s">
        <v>48</v>
      </c>
      <c r="C29" s="15" t="n">
        <f aca="false">C27+C28</f>
        <v>0</v>
      </c>
    </row>
    <row r="30" customFormat="false" ht="15" hidden="false" customHeight="false" outlineLevel="0" collapsed="false">
      <c r="A30" s="12" t="s">
        <v>49</v>
      </c>
      <c r="B30" s="13" t="s">
        <v>50</v>
      </c>
      <c r="C30" s="14" t="n">
        <f aca="false">C29*C14</f>
        <v>0</v>
      </c>
    </row>
    <row r="31" customFormat="false" ht="15" hidden="false" customHeight="false" outlineLevel="0" collapsed="false">
      <c r="A31" s="12" t="s">
        <v>51</v>
      </c>
      <c r="B31" s="12" t="s">
        <v>52</v>
      </c>
      <c r="C31" s="15" t="n">
        <f aca="false">C29+C30</f>
        <v>0</v>
      </c>
    </row>
    <row r="32" customFormat="false" ht="15" hidden="false" customHeight="false" outlineLevel="0" collapsed="false">
      <c r="A32" s="12" t="s">
        <v>53</v>
      </c>
      <c r="B32" s="13" t="s">
        <v>54</v>
      </c>
      <c r="C32" s="14" t="n">
        <f aca="false">-C29*C15</f>
        <v>-0</v>
      </c>
    </row>
    <row r="33" customFormat="false" ht="15" hidden="false" customHeight="false" outlineLevel="0" collapsed="false">
      <c r="A33" s="16" t="s">
        <v>55</v>
      </c>
      <c r="B33" s="17" t="s">
        <v>56</v>
      </c>
      <c r="C33" s="18" t="n">
        <f aca="false">C31+C32</f>
        <v>0</v>
      </c>
    </row>
    <row r="35" customFormat="false" ht="15" hidden="false" customHeight="false" outlineLevel="0" collapsed="false">
      <c r="A35" s="5" t="s">
        <v>57</v>
      </c>
    </row>
    <row r="36" customFormat="false" ht="15" hidden="false" customHeight="false" outlineLevel="0" collapsed="false">
      <c r="B36" s="8" t="s">
        <v>58</v>
      </c>
      <c r="C36" s="19" t="n">
        <f aca="false">IF(C21=0,0,C22/C21)</f>
        <v>0</v>
      </c>
    </row>
    <row r="39" customFormat="false" ht="15" hidden="false" customHeight="false" outlineLevel="0" collapsed="false">
      <c r="A39" s="20" t="s">
        <v>59</v>
      </c>
      <c r="B39" s="20" t="s">
        <v>60</v>
      </c>
      <c r="C39" s="20" t="s">
        <v>61</v>
      </c>
    </row>
  </sheetData>
  <mergeCells count="7">
    <mergeCell ref="B3:C3"/>
    <mergeCell ref="B4:C4"/>
    <mergeCell ref="B5:C5"/>
    <mergeCell ref="B6:C6"/>
    <mergeCell ref="B7:C7"/>
    <mergeCell ref="B8:C8"/>
    <mergeCell ref="B9:C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1"/>
  </cols>
  <sheetData>
    <row r="1" customFormat="false" ht="18.5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25.5" hidden="false" customHeight="true" outlineLevel="0" collapsed="false">
      <c r="A4" s="11" t="s">
        <v>64</v>
      </c>
      <c r="B4" s="11" t="s">
        <v>29</v>
      </c>
      <c r="C4" s="11" t="s">
        <v>65</v>
      </c>
      <c r="D4" s="11" t="s">
        <v>66</v>
      </c>
      <c r="E4" s="11" t="s">
        <v>67</v>
      </c>
      <c r="F4" s="11" t="s">
        <v>68</v>
      </c>
      <c r="G4" s="11" t="s">
        <v>69</v>
      </c>
      <c r="H4" s="11" t="s">
        <v>70</v>
      </c>
      <c r="I4" s="11" t="s">
        <v>71</v>
      </c>
      <c r="J4" s="11" t="s">
        <v>72</v>
      </c>
      <c r="K4" s="11" t="s">
        <v>73</v>
      </c>
    </row>
    <row r="5" customFormat="false" ht="15" hidden="false" customHeight="false" outlineLevel="0" collapsed="false">
      <c r="A5" s="6" t="s">
        <v>74</v>
      </c>
      <c r="B5" s="6" t="s">
        <v>75</v>
      </c>
      <c r="C5" s="6" t="s">
        <v>76</v>
      </c>
      <c r="D5" s="10"/>
      <c r="E5" s="10"/>
      <c r="F5" s="14" t="n">
        <f aca="false">D5*E5</f>
        <v>0</v>
      </c>
      <c r="G5" s="10"/>
      <c r="H5" s="10"/>
      <c r="I5" s="14" t="n">
        <f aca="false">G5+H5</f>
        <v>0</v>
      </c>
      <c r="J5" s="14" t="n">
        <f aca="false">I5*E5</f>
        <v>0</v>
      </c>
      <c r="K5" s="19" t="n">
        <f aca="false">IF(D5=0,0,I5/D5)</f>
        <v>0</v>
      </c>
    </row>
    <row r="6" customFormat="false" ht="15" hidden="false" customHeight="false" outlineLevel="0" collapsed="false">
      <c r="A6" s="6" t="s">
        <v>77</v>
      </c>
      <c r="B6" s="6" t="s">
        <v>78</v>
      </c>
      <c r="C6" s="6" t="s">
        <v>76</v>
      </c>
      <c r="D6" s="10"/>
      <c r="E6" s="10"/>
      <c r="F6" s="14" t="n">
        <f aca="false">D6*E6</f>
        <v>0</v>
      </c>
      <c r="G6" s="10"/>
      <c r="H6" s="10"/>
      <c r="I6" s="14" t="n">
        <f aca="false">G6+H6</f>
        <v>0</v>
      </c>
      <c r="J6" s="14" t="n">
        <f aca="false">I6*E6</f>
        <v>0</v>
      </c>
      <c r="K6" s="19" t="n">
        <f aca="false">IF(D6=0,0,I6/D6)</f>
        <v>0</v>
      </c>
    </row>
    <row r="7" customFormat="false" ht="15" hidden="false" customHeight="false" outlineLevel="0" collapsed="false">
      <c r="A7" s="6" t="s">
        <v>79</v>
      </c>
      <c r="B7" s="6" t="s">
        <v>80</v>
      </c>
      <c r="C7" s="6" t="s">
        <v>81</v>
      </c>
      <c r="D7" s="10"/>
      <c r="E7" s="10"/>
      <c r="F7" s="14" t="n">
        <f aca="false">D7*E7</f>
        <v>0</v>
      </c>
      <c r="G7" s="10"/>
      <c r="H7" s="10"/>
      <c r="I7" s="14" t="n">
        <f aca="false">G7+H7</f>
        <v>0</v>
      </c>
      <c r="J7" s="14" t="n">
        <f aca="false">I7*E7</f>
        <v>0</v>
      </c>
      <c r="K7" s="19" t="n">
        <f aca="false">IF(D7=0,0,I7/D7)</f>
        <v>0</v>
      </c>
    </row>
    <row r="8" customFormat="false" ht="15" hidden="false" customHeight="false" outlineLevel="0" collapsed="false">
      <c r="A8" s="6" t="s">
        <v>82</v>
      </c>
      <c r="B8" s="6" t="s">
        <v>83</v>
      </c>
      <c r="C8" s="6" t="s">
        <v>76</v>
      </c>
      <c r="D8" s="10"/>
      <c r="E8" s="10"/>
      <c r="F8" s="14" t="n">
        <f aca="false">D8*E8</f>
        <v>0</v>
      </c>
      <c r="G8" s="10"/>
      <c r="H8" s="10"/>
      <c r="I8" s="14" t="n">
        <f aca="false">G8+H8</f>
        <v>0</v>
      </c>
      <c r="J8" s="14" t="n">
        <f aca="false">I8*E8</f>
        <v>0</v>
      </c>
      <c r="K8" s="19" t="n">
        <f aca="false">IF(D8=0,0,I8/D8)</f>
        <v>0</v>
      </c>
    </row>
    <row r="9" customFormat="false" ht="15" hidden="false" customHeight="false" outlineLevel="0" collapsed="false">
      <c r="A9" s="6" t="s">
        <v>84</v>
      </c>
      <c r="B9" s="6" t="s">
        <v>85</v>
      </c>
      <c r="C9" s="6" t="s">
        <v>76</v>
      </c>
      <c r="D9" s="10"/>
      <c r="E9" s="10"/>
      <c r="F9" s="14" t="n">
        <f aca="false">D9*E9</f>
        <v>0</v>
      </c>
      <c r="G9" s="10"/>
      <c r="H9" s="10"/>
      <c r="I9" s="14" t="n">
        <f aca="false">G9+H9</f>
        <v>0</v>
      </c>
      <c r="J9" s="14" t="n">
        <f aca="false">I9*E9</f>
        <v>0</v>
      </c>
      <c r="K9" s="19" t="n">
        <f aca="false">IF(D9=0,0,I9/D9)</f>
        <v>0</v>
      </c>
    </row>
    <row r="10" customFormat="false" ht="15" hidden="false" customHeight="false" outlineLevel="0" collapsed="false">
      <c r="A10" s="6" t="s">
        <v>86</v>
      </c>
      <c r="B10" s="6" t="s">
        <v>87</v>
      </c>
      <c r="C10" s="6" t="s">
        <v>88</v>
      </c>
      <c r="D10" s="10"/>
      <c r="E10" s="10"/>
      <c r="F10" s="14" t="n">
        <f aca="false">D10*E10</f>
        <v>0</v>
      </c>
      <c r="G10" s="10"/>
      <c r="H10" s="10"/>
      <c r="I10" s="14" t="n">
        <f aca="false">G10+H10</f>
        <v>0</v>
      </c>
      <c r="J10" s="14" t="n">
        <f aca="false">I10*E10</f>
        <v>0</v>
      </c>
      <c r="K10" s="19" t="n">
        <f aca="false">IF(D10=0,0,I10/D10)</f>
        <v>0</v>
      </c>
    </row>
    <row r="11" customFormat="false" ht="15" hidden="false" customHeight="false" outlineLevel="0" collapsed="false">
      <c r="A11" s="6" t="s">
        <v>89</v>
      </c>
      <c r="B11" s="6" t="s">
        <v>90</v>
      </c>
      <c r="C11" s="6" t="s">
        <v>88</v>
      </c>
      <c r="D11" s="10"/>
      <c r="E11" s="10"/>
      <c r="F11" s="14" t="n">
        <f aca="false">D11*E11</f>
        <v>0</v>
      </c>
      <c r="G11" s="10"/>
      <c r="H11" s="10"/>
      <c r="I11" s="14" t="n">
        <f aca="false">G11+H11</f>
        <v>0</v>
      </c>
      <c r="J11" s="14" t="n">
        <f aca="false">I11*E11</f>
        <v>0</v>
      </c>
      <c r="K11" s="19" t="n">
        <f aca="false">IF(D11=0,0,I11/D11)</f>
        <v>0</v>
      </c>
    </row>
    <row r="12" customFormat="false" ht="15" hidden="false" customHeight="false" outlineLevel="0" collapsed="false">
      <c r="A12" s="6" t="s">
        <v>91</v>
      </c>
      <c r="B12" s="6" t="s">
        <v>92</v>
      </c>
      <c r="C12" s="6" t="s">
        <v>88</v>
      </c>
      <c r="D12" s="10"/>
      <c r="E12" s="10"/>
      <c r="F12" s="14" t="n">
        <f aca="false">D12*E12</f>
        <v>0</v>
      </c>
      <c r="G12" s="10"/>
      <c r="H12" s="10"/>
      <c r="I12" s="14" t="n">
        <f aca="false">G12+H12</f>
        <v>0</v>
      </c>
      <c r="J12" s="14" t="n">
        <f aca="false">I12*E12</f>
        <v>0</v>
      </c>
      <c r="K12" s="19" t="n">
        <f aca="false">IF(D12=0,0,I12/D12)</f>
        <v>0</v>
      </c>
    </row>
    <row r="13" customFormat="false" ht="15" hidden="false" customHeight="false" outlineLevel="0" collapsed="false">
      <c r="A13" s="6" t="s">
        <v>93</v>
      </c>
      <c r="B13" s="6" t="s">
        <v>94</v>
      </c>
      <c r="C13" s="6" t="s">
        <v>88</v>
      </c>
      <c r="D13" s="10"/>
      <c r="E13" s="10"/>
      <c r="F13" s="14" t="n">
        <f aca="false">D13*E13</f>
        <v>0</v>
      </c>
      <c r="G13" s="10"/>
      <c r="H13" s="10"/>
      <c r="I13" s="14" t="n">
        <f aca="false">G13+H13</f>
        <v>0</v>
      </c>
      <c r="J13" s="14" t="n">
        <f aca="false">I13*E13</f>
        <v>0</v>
      </c>
      <c r="K13" s="19" t="n">
        <f aca="false">IF(D13=0,0,I13/D13)</f>
        <v>0</v>
      </c>
    </row>
    <row r="14" customFormat="false" ht="15" hidden="false" customHeight="false" outlineLevel="0" collapsed="false">
      <c r="A14" s="6" t="s">
        <v>95</v>
      </c>
      <c r="B14" s="6" t="s">
        <v>96</v>
      </c>
      <c r="C14" s="6" t="s">
        <v>97</v>
      </c>
      <c r="D14" s="10"/>
      <c r="E14" s="10"/>
      <c r="F14" s="14" t="n">
        <f aca="false">D14*E14</f>
        <v>0</v>
      </c>
      <c r="G14" s="10"/>
      <c r="H14" s="10"/>
      <c r="I14" s="14" t="n">
        <f aca="false">G14+H14</f>
        <v>0</v>
      </c>
      <c r="J14" s="14" t="n">
        <f aca="false">I14*E14</f>
        <v>0</v>
      </c>
      <c r="K14" s="19" t="n">
        <f aca="false">IF(D14=0,0,I14/D14)</f>
        <v>0</v>
      </c>
    </row>
    <row r="15" customFormat="false" ht="15" hidden="false" customHeight="false" outlineLevel="0" collapsed="false">
      <c r="A15" s="6" t="s">
        <v>98</v>
      </c>
      <c r="B15" s="6" t="s">
        <v>99</v>
      </c>
      <c r="C15" s="6" t="s">
        <v>88</v>
      </c>
      <c r="D15" s="10"/>
      <c r="E15" s="10"/>
      <c r="F15" s="14" t="n">
        <f aca="false">D15*E15</f>
        <v>0</v>
      </c>
      <c r="G15" s="10"/>
      <c r="H15" s="10"/>
      <c r="I15" s="14" t="n">
        <f aca="false">G15+H15</f>
        <v>0</v>
      </c>
      <c r="J15" s="14" t="n">
        <f aca="false">I15*E15</f>
        <v>0</v>
      </c>
      <c r="K15" s="19" t="n">
        <f aca="false">IF(D15=0,0,I15/D15)</f>
        <v>0</v>
      </c>
    </row>
    <row r="16" customFormat="false" ht="15" hidden="false" customHeight="false" outlineLevel="0" collapsed="false">
      <c r="A16" s="6"/>
      <c r="B16" s="6"/>
      <c r="C16" s="6"/>
      <c r="D16" s="10"/>
      <c r="E16" s="10"/>
      <c r="F16" s="14" t="n">
        <f aca="false">D16*E16</f>
        <v>0</v>
      </c>
      <c r="G16" s="10"/>
      <c r="H16" s="10"/>
      <c r="I16" s="14" t="n">
        <f aca="false">G16+H16</f>
        <v>0</v>
      </c>
      <c r="J16" s="14" t="n">
        <f aca="false">I16*E16</f>
        <v>0</v>
      </c>
      <c r="K16" s="19" t="n">
        <f aca="false">IF(D16=0,0,I16/D16)</f>
        <v>0</v>
      </c>
    </row>
    <row r="17" customFormat="false" ht="15" hidden="false" customHeight="false" outlineLevel="0" collapsed="false">
      <c r="A17" s="6"/>
      <c r="B17" s="6"/>
      <c r="C17" s="6"/>
      <c r="D17" s="10"/>
      <c r="E17" s="10"/>
      <c r="F17" s="14" t="n">
        <f aca="false">D17*E17</f>
        <v>0</v>
      </c>
      <c r="G17" s="10"/>
      <c r="H17" s="10"/>
      <c r="I17" s="14" t="n">
        <f aca="false">G17+H17</f>
        <v>0</v>
      </c>
      <c r="J17" s="14" t="n">
        <f aca="false">I17*E17</f>
        <v>0</v>
      </c>
      <c r="K17" s="19" t="n">
        <f aca="false">IF(D17=0,0,I17/D17)</f>
        <v>0</v>
      </c>
    </row>
    <row r="18" customFormat="false" ht="15" hidden="false" customHeight="false" outlineLevel="0" collapsed="false">
      <c r="A18" s="6"/>
      <c r="B18" s="6"/>
      <c r="C18" s="6"/>
      <c r="D18" s="10"/>
      <c r="E18" s="10"/>
      <c r="F18" s="14" t="n">
        <f aca="false">D18*E18</f>
        <v>0</v>
      </c>
      <c r="G18" s="10"/>
      <c r="H18" s="10"/>
      <c r="I18" s="14" t="n">
        <f aca="false">G18+H18</f>
        <v>0</v>
      </c>
      <c r="J18" s="14" t="n">
        <f aca="false">I18*E18</f>
        <v>0</v>
      </c>
      <c r="K18" s="19" t="n">
        <f aca="false">IF(D18=0,0,I18/D18)</f>
        <v>0</v>
      </c>
    </row>
    <row r="19" customFormat="false" ht="15" hidden="false" customHeight="false" outlineLevel="0" collapsed="false">
      <c r="A19" s="6"/>
      <c r="B19" s="6"/>
      <c r="C19" s="6"/>
      <c r="D19" s="10"/>
      <c r="E19" s="10"/>
      <c r="F19" s="14" t="n">
        <f aca="false">D19*E19</f>
        <v>0</v>
      </c>
      <c r="G19" s="10"/>
      <c r="H19" s="10"/>
      <c r="I19" s="14" t="n">
        <f aca="false">G19+H19</f>
        <v>0</v>
      </c>
      <c r="J19" s="14" t="n">
        <f aca="false">I19*E19</f>
        <v>0</v>
      </c>
      <c r="K19" s="19" t="n">
        <f aca="false">IF(D19=0,0,I19/D19)</f>
        <v>0</v>
      </c>
    </row>
    <row r="20" customFormat="false" ht="15" hidden="false" customHeight="false" outlineLevel="0" collapsed="false">
      <c r="A20" s="6"/>
      <c r="B20" s="6"/>
      <c r="C20" s="6"/>
      <c r="D20" s="10"/>
      <c r="E20" s="10"/>
      <c r="F20" s="14" t="n">
        <f aca="false">D20*E20</f>
        <v>0</v>
      </c>
      <c r="G20" s="10"/>
      <c r="H20" s="10"/>
      <c r="I20" s="14" t="n">
        <f aca="false">G20+H20</f>
        <v>0</v>
      </c>
      <c r="J20" s="14" t="n">
        <f aca="false">I20*E20</f>
        <v>0</v>
      </c>
      <c r="K20" s="19" t="n">
        <f aca="false">IF(D20=0,0,I20/D20)</f>
        <v>0</v>
      </c>
    </row>
    <row r="21" customFormat="false" ht="15" hidden="false" customHeight="false" outlineLevel="0" collapsed="false">
      <c r="A21" s="6"/>
      <c r="B21" s="6"/>
      <c r="C21" s="6"/>
      <c r="D21" s="10"/>
      <c r="E21" s="10"/>
      <c r="F21" s="14" t="n">
        <f aca="false">D21*E21</f>
        <v>0</v>
      </c>
      <c r="G21" s="10"/>
      <c r="H21" s="10"/>
      <c r="I21" s="14" t="n">
        <f aca="false">G21+H21</f>
        <v>0</v>
      </c>
      <c r="J21" s="14" t="n">
        <f aca="false">I21*E21</f>
        <v>0</v>
      </c>
      <c r="K21" s="19" t="n">
        <f aca="false">IF(D21=0,0,I21/D21)</f>
        <v>0</v>
      </c>
    </row>
    <row r="22" customFormat="false" ht="15" hidden="false" customHeight="false" outlineLevel="0" collapsed="false">
      <c r="A22" s="6"/>
      <c r="B22" s="6"/>
      <c r="C22" s="6"/>
      <c r="D22" s="10"/>
      <c r="E22" s="10"/>
      <c r="F22" s="14" t="n">
        <f aca="false">D22*E22</f>
        <v>0</v>
      </c>
      <c r="G22" s="10"/>
      <c r="H22" s="10"/>
      <c r="I22" s="14" t="n">
        <f aca="false">G22+H22</f>
        <v>0</v>
      </c>
      <c r="J22" s="14" t="n">
        <f aca="false">I22*E22</f>
        <v>0</v>
      </c>
      <c r="K22" s="19" t="n">
        <f aca="false">IF(D22=0,0,I22/D22)</f>
        <v>0</v>
      </c>
    </row>
    <row r="23" customFormat="false" ht="15" hidden="false" customHeight="false" outlineLevel="0" collapsed="false">
      <c r="A23" s="6"/>
      <c r="B23" s="6"/>
      <c r="C23" s="6"/>
      <c r="D23" s="10"/>
      <c r="E23" s="10"/>
      <c r="F23" s="14" t="n">
        <f aca="false">D23*E23</f>
        <v>0</v>
      </c>
      <c r="G23" s="10"/>
      <c r="H23" s="10"/>
      <c r="I23" s="14" t="n">
        <f aca="false">G23+H23</f>
        <v>0</v>
      </c>
      <c r="J23" s="14" t="n">
        <f aca="false">I23*E23</f>
        <v>0</v>
      </c>
      <c r="K23" s="19" t="n">
        <f aca="false">IF(D23=0,0,I23/D23)</f>
        <v>0</v>
      </c>
    </row>
    <row r="24" customFormat="false" ht="15" hidden="false" customHeight="false" outlineLevel="0" collapsed="false">
      <c r="A24" s="6"/>
      <c r="B24" s="6"/>
      <c r="C24" s="6"/>
      <c r="D24" s="10"/>
      <c r="E24" s="10"/>
      <c r="F24" s="14" t="n">
        <f aca="false">D24*E24</f>
        <v>0</v>
      </c>
      <c r="G24" s="10"/>
      <c r="H24" s="10"/>
      <c r="I24" s="14" t="n">
        <f aca="false">G24+H24</f>
        <v>0</v>
      </c>
      <c r="J24" s="14" t="n">
        <f aca="false">I24*E24</f>
        <v>0</v>
      </c>
      <c r="K24" s="19" t="n">
        <f aca="false">IF(D24=0,0,I24/D24)</f>
        <v>0</v>
      </c>
    </row>
    <row r="25" customFormat="false" ht="15" hidden="false" customHeight="false" outlineLevel="0" collapsed="false">
      <c r="A25" s="6"/>
      <c r="B25" s="6"/>
      <c r="C25" s="6"/>
      <c r="D25" s="10"/>
      <c r="E25" s="10"/>
      <c r="F25" s="14" t="n">
        <f aca="false">D25*E25</f>
        <v>0</v>
      </c>
      <c r="G25" s="10"/>
      <c r="H25" s="10"/>
      <c r="I25" s="14" t="n">
        <f aca="false">G25+H25</f>
        <v>0</v>
      </c>
      <c r="J25" s="14" t="n">
        <f aca="false">I25*E25</f>
        <v>0</v>
      </c>
      <c r="K25" s="19" t="n">
        <f aca="false">IF(D25=0,0,I25/D25)</f>
        <v>0</v>
      </c>
    </row>
    <row r="26" customFormat="false" ht="15" hidden="false" customHeight="false" outlineLevel="0" collapsed="false">
      <c r="A26" s="21"/>
      <c r="B26" s="22" t="s">
        <v>100</v>
      </c>
      <c r="C26" s="21"/>
      <c r="D26" s="21"/>
      <c r="E26" s="21"/>
      <c r="F26" s="23" t="n">
        <f aca="false">SUM(F5:F25)</f>
        <v>0</v>
      </c>
      <c r="G26" s="21"/>
      <c r="H26" s="21"/>
      <c r="I26" s="21"/>
      <c r="J26" s="23" t="n">
        <f aca="false">SUM(J5:J25)</f>
        <v>0</v>
      </c>
      <c r="K26" s="24" t="n">
        <f aca="false">IF(F26=0,0,J26/F26)</f>
        <v>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2026-10-17T14:40:58Z</dcterms:created>
  <dc:creator>openpyxl</dc:creator>
  <dc:description/>
  <dc:language>en-US</dc:language>
  <cp:lastModifiedBy/>
  <dcterms:modified xsi:type="dcterms:W3CDTF">2026-10-17T14:40:58Z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