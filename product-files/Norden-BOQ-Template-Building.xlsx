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1 Preliminaries" sheetId="3" state="visible" r:id="rId5"/>
    <sheet name="2 Substructure" sheetId="4" state="visible" r:id="rId6"/>
    <sheet name="3 Superstructure" sheetId="5" state="visible" r:id="rId7"/>
    <sheet name="4 Roofing" sheetId="6" state="visible" r:id="rId8"/>
    <sheet name="5 Finishes" sheetId="7" state="visible" r:id="rId9"/>
    <sheet name="6 Doors &amp; Windows" sheetId="8" state="visible" r:id="rId10"/>
    <sheet name="7 MEP (Provisional)" sheetId="9" state="visible" r:id="rId11"/>
  </sheets>
  <definedNames>
    <definedName function="false" hidden="false" localSheetId="2" name="_xlnm.Print_Titles" vbProcedure="false">'1 Preliminaries'!$5:$5</definedName>
    <definedName function="false" hidden="false" localSheetId="3" name="_xlnm.Print_Titles" vbProcedure="false">'2 Substructure'!$5:$5</definedName>
    <definedName function="false" hidden="false" localSheetId="4" name="_xlnm.Print_Titles" vbProcedure="false">'3 Superstructure'!$5:$5</definedName>
    <definedName function="false" hidden="false" localSheetId="5" name="_xlnm.Print_Titles" vbProcedure="false">'4 Roofing'!$5:$5</definedName>
    <definedName function="false" hidden="false" localSheetId="6" name="_xlnm.Print_Titles" vbProcedure="false">'5 Finishes'!$5:$5</definedName>
    <definedName function="false" hidden="false" localSheetId="7" name="_xlnm.Print_Titles" vbProcedure="false">'6 Doors &amp; Windows'!$5:$5</definedName>
    <definedName function="false" hidden="false" localSheetId="8" name="_xlnm.Print_Titles" vbProcedure="false">'7 MEP (Provisional)'!$5:$5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<sst xmlns="http://schemas.openxmlformats.org/spreadsheetml/2006/main" count="332" uniqueCount="212">
  <si>
    <t xml:space="preserve">Bill of Quantities (BOQ) Template — Building Works</t>
  </si>
  <si>
    <t xml:space="preserve">Norden Trading Plc  |  Editable Excel template for building projects in Ethiopia</t>
  </si>
  <si>
    <t xml:space="preserve">HOW TO USE</t>
  </si>
  <si>
    <t xml:space="preserve">1.  Open the 'Summary' sheet and type your project details in the shaded cells.</t>
  </si>
  <si>
    <t xml:space="preserve">2.  Go to each Bill sheet (1 Preliminaries … 7 MEP). Fill in the Quantity (from your take-off) and the Rate (ETB per unit). Amounts calculate automatically.</t>
  </si>
  <si>
    <t xml:space="preserve">3.  Add rows by inserting a row ABOVE the 'Total of Bill' line (select the row, right-click, Insert). Copy the formulas down from the row above. Item numbers are plain text — renumber if needed.</t>
  </si>
  <si>
    <t xml:space="preserve">4.  The 'Summary' sheet collects every bill, adds contingency and VAT, and gives the Grand Total.</t>
  </si>
  <si>
    <t xml:space="preserve">COLOUR CODE</t>
  </si>
  <si>
    <t xml:space="preserve">Blue text on a pale-yellow cell = you type here.   Black text = formula, do not overwrite.</t>
  </si>
  <si>
    <t xml:space="preserve">IMPORTANT NOTES</t>
  </si>
  <si>
    <t xml:space="preserve">•  Item descriptions are typical building items to get you started. Edit, delete or add items to match your drawings and specification.</t>
  </si>
  <si>
    <t xml:space="preserve">•  Quantities and rates are intentionally blank — they depend entirely on your project and current market prices.</t>
  </si>
  <si>
    <t xml:space="preserve">•  VAT is set to 15% and contingency to 5% as editable inputs on the Summary sheet. Confirm the current rates and your tender requirements before submitting.</t>
  </si>
  <si>
    <t xml:space="preserve">•  Units available in the drop-down: m, m2, m3, kg, ton, no, LS (lump sum), item, day, hr, bag, set, sum.</t>
  </si>
  <si>
    <t xml:space="preserve">•  This is a general-purpose template. It does not replace professional quantity surveying judgment or your client's own BOQ format.</t>
  </si>
  <si>
    <t xml:space="preserve">BOQ Summary</t>
  </si>
  <si>
    <t xml:space="preserve">Totals update automatically from the bill sheets</t>
  </si>
  <si>
    <t xml:space="preserve">Project</t>
  </si>
  <si>
    <t xml:space="preserve">Client</t>
  </si>
  <si>
    <t xml:space="preserve">Location</t>
  </si>
  <si>
    <t xml:space="preserve">Addis Ababa</t>
  </si>
  <si>
    <t xml:space="preserve">Prepared by</t>
  </si>
  <si>
    <t xml:space="preserve">Date</t>
  </si>
  <si>
    <t xml:space="preserve">Currency</t>
  </si>
  <si>
    <t xml:space="preserve">ETB</t>
  </si>
  <si>
    <t xml:space="preserve">Bill No.</t>
  </si>
  <si>
    <t xml:space="preserve">Description</t>
  </si>
  <si>
    <t xml:space="preserve">Sheet</t>
  </si>
  <si>
    <t xml:space="preserve">Amount (ETB)</t>
  </si>
  <si>
    <t xml:space="preserve">1</t>
  </si>
  <si>
    <t xml:space="preserve">Preliminaries &amp; General Items</t>
  </si>
  <si>
    <t xml:space="preserve">1 Preliminaries</t>
  </si>
  <si>
    <t xml:space="preserve">2</t>
  </si>
  <si>
    <t xml:space="preserve">Earthworks &amp; Substructure</t>
  </si>
  <si>
    <t xml:space="preserve">2 Substructure</t>
  </si>
  <si>
    <t xml:space="preserve">3</t>
  </si>
  <si>
    <t xml:space="preserve">Concrete Frame &amp; Walling</t>
  </si>
  <si>
    <t xml:space="preserve">3 Superstructure</t>
  </si>
  <si>
    <t xml:space="preserve">4</t>
  </si>
  <si>
    <t xml:space="preserve">Roofing &amp; Waterproofing</t>
  </si>
  <si>
    <t xml:space="preserve">4 Roofing</t>
  </si>
  <si>
    <t xml:space="preserve">5</t>
  </si>
  <si>
    <t xml:space="preserve">Finishes</t>
  </si>
  <si>
    <t xml:space="preserve">5 Finishes</t>
  </si>
  <si>
    <t xml:space="preserve">6</t>
  </si>
  <si>
    <t xml:space="preserve">Doors, Windows &amp; Ironmongery</t>
  </si>
  <si>
    <t xml:space="preserve">6 Doors &amp; Windows</t>
  </si>
  <si>
    <t xml:space="preserve">7</t>
  </si>
  <si>
    <t xml:space="preserve">Mechanical, Electrical &amp; Plumbing (Provisional Sums)</t>
  </si>
  <si>
    <t xml:space="preserve">7 MEP (Provisional)</t>
  </si>
  <si>
    <t xml:space="preserve">Sub-total of all bills</t>
  </si>
  <si>
    <t xml:space="preserve">Contingency (% of sub-total)</t>
  </si>
  <si>
    <t xml:space="preserve">Total before VAT</t>
  </si>
  <si>
    <t xml:space="preserve">VAT</t>
  </si>
  <si>
    <t xml:space="preserve">GRAND TOTAL (incl. VAT)</t>
  </si>
  <si>
    <t xml:space="preserve">Bill No. 1 — Preliminaries &amp; General Items</t>
  </si>
  <si>
    <t xml:space="preserve">Type quantities and rates in the shaded cells. Amount = Quantity x Rate.</t>
  </si>
  <si>
    <t xml:space="preserve">Project:</t>
  </si>
  <si>
    <t xml:space="preserve">Item</t>
  </si>
  <si>
    <t xml:space="preserve">Unit</t>
  </si>
  <si>
    <t xml:space="preserve">Quantity</t>
  </si>
  <si>
    <t xml:space="preserve">Rate (ETB)</t>
  </si>
  <si>
    <t xml:space="preserve">1.01</t>
  </si>
  <si>
    <t xml:space="preserve">Contractor's site establishment, offices and stores</t>
  </si>
  <si>
    <t xml:space="preserve">LS</t>
  </si>
  <si>
    <t xml:space="preserve">1.02</t>
  </si>
  <si>
    <t xml:space="preserve">Site signboard</t>
  </si>
  <si>
    <t xml:space="preserve">no</t>
  </si>
  <si>
    <t xml:space="preserve">1.03</t>
  </si>
  <si>
    <t xml:space="preserve">Temporary water and power supply</t>
  </si>
  <si>
    <t xml:space="preserve">1.04</t>
  </si>
  <si>
    <t xml:space="preserve">Setting out and survey</t>
  </si>
  <si>
    <t xml:space="preserve">1.05</t>
  </si>
  <si>
    <t xml:space="preserve">Insurance of works, third-party and workmen</t>
  </si>
  <si>
    <t xml:space="preserve">1.06</t>
  </si>
  <si>
    <t xml:space="preserve">Performance security (bank guarantee charges)</t>
  </si>
  <si>
    <t xml:space="preserve">1.07</t>
  </si>
  <si>
    <t xml:space="preserve">Health, safety and environmental measures</t>
  </si>
  <si>
    <t xml:space="preserve">1.08</t>
  </si>
  <si>
    <t xml:space="preserve">Site clearance and removal of debris</t>
  </si>
  <si>
    <t xml:space="preserve">m2</t>
  </si>
  <si>
    <t xml:space="preserve">1.09</t>
  </si>
  <si>
    <t xml:space="preserve">Testing of materials (concrete cubes, steel, soil)</t>
  </si>
  <si>
    <t xml:space="preserve">1.10</t>
  </si>
  <si>
    <t xml:space="preserve">Temporary site fencing and security</t>
  </si>
  <si>
    <t xml:space="preserve">m</t>
  </si>
  <si>
    <t xml:space="preserve">1.11</t>
  </si>
  <si>
    <t xml:space="preserve">As-built drawings and handover documents</t>
  </si>
  <si>
    <t xml:space="preserve">Total of Bill — carried to Summary</t>
  </si>
  <si>
    <t xml:space="preserve">Bill No. 2 — Earthworks &amp; Substructure</t>
  </si>
  <si>
    <t xml:space="preserve">2.01</t>
  </si>
  <si>
    <t xml:space="preserve">Excavate trenches for foundations, depth not exceeding 1.50 m</t>
  </si>
  <si>
    <t xml:space="preserve">m3</t>
  </si>
  <si>
    <t xml:space="preserve">2.02</t>
  </si>
  <si>
    <t xml:space="preserve">Excavate for column footings, depth not exceeding 2.00 m</t>
  </si>
  <si>
    <t xml:space="preserve">2.03</t>
  </si>
  <si>
    <t xml:space="preserve">Backfilling with selected excavated material, compacted in layers</t>
  </si>
  <si>
    <t xml:space="preserve">2.04</t>
  </si>
  <si>
    <t xml:space="preserve">Hardcore filling 200 mm thick, compacted</t>
  </si>
  <si>
    <t xml:space="preserve">2.05</t>
  </si>
  <si>
    <t xml:space="preserve">Anti-termite treatment to excavated surfaces</t>
  </si>
  <si>
    <t xml:space="preserve">2.06</t>
  </si>
  <si>
    <t xml:space="preserve">Blinding concrete C-5, 50 mm thick</t>
  </si>
  <si>
    <t xml:space="preserve">2.07</t>
  </si>
  <si>
    <t xml:space="preserve">Reinforced concrete C-25 in footings</t>
  </si>
  <si>
    <t xml:space="preserve">2.08</t>
  </si>
  <si>
    <t xml:space="preserve">Reinforced concrete C-25 in tie beams and columns to ground level</t>
  </si>
  <si>
    <t xml:space="preserve">2.09</t>
  </si>
  <si>
    <t xml:space="preserve">Formwork to footings, tie beams and columns</t>
  </si>
  <si>
    <t xml:space="preserve">2.10</t>
  </si>
  <si>
    <t xml:space="preserve">Reinforcement steel bars, all diameters (supply, cut, bend, fix)</t>
  </si>
  <si>
    <t xml:space="preserve">kg</t>
  </si>
  <si>
    <t xml:space="preserve">2.11</t>
  </si>
  <si>
    <t xml:space="preserve">Stone masonry foundation wall</t>
  </si>
  <si>
    <t xml:space="preserve">2.12</t>
  </si>
  <si>
    <t xml:space="preserve">Polyethylene damp-proof membrane under floor slab</t>
  </si>
  <si>
    <t xml:space="preserve">2.13</t>
  </si>
  <si>
    <t xml:space="preserve">Ground-floor slab, C-20 concrete 100 mm thick with mesh</t>
  </si>
  <si>
    <t xml:space="preserve">Bill No. 3 — Concrete Frame &amp; Walling</t>
  </si>
  <si>
    <t xml:space="preserve">3.01</t>
  </si>
  <si>
    <t xml:space="preserve">Reinforced concrete C-25 in columns</t>
  </si>
  <si>
    <t xml:space="preserve">3.02</t>
  </si>
  <si>
    <t xml:space="preserve">Reinforced concrete C-25 in beams</t>
  </si>
  <si>
    <t xml:space="preserve">3.03</t>
  </si>
  <si>
    <t xml:space="preserve">Reinforced concrete C-25 in suspended slabs</t>
  </si>
  <si>
    <t xml:space="preserve">3.04</t>
  </si>
  <si>
    <t xml:space="preserve">Reinforced concrete C-25 in staircase</t>
  </si>
  <si>
    <t xml:space="preserve">3.05</t>
  </si>
  <si>
    <t xml:space="preserve">Formwork to columns</t>
  </si>
  <si>
    <t xml:space="preserve">3.06</t>
  </si>
  <si>
    <t xml:space="preserve">Formwork to beams and slabs</t>
  </si>
  <si>
    <t xml:space="preserve">3.07</t>
  </si>
  <si>
    <t xml:space="preserve">3.08</t>
  </si>
  <si>
    <t xml:space="preserve">200 mm hollow concrete block walling</t>
  </si>
  <si>
    <t xml:space="preserve">3.09</t>
  </si>
  <si>
    <t xml:space="preserve">150 mm hollow concrete block walling</t>
  </si>
  <si>
    <t xml:space="preserve">3.10</t>
  </si>
  <si>
    <t xml:space="preserve">100 mm hollow concrete block partition</t>
  </si>
  <si>
    <t xml:space="preserve">3.11</t>
  </si>
  <si>
    <t xml:space="preserve">Lintels over openings, C-25 reinforced</t>
  </si>
  <si>
    <t xml:space="preserve">3.12</t>
  </si>
  <si>
    <t xml:space="preserve">Stairs and balcony balustrade / handrail</t>
  </si>
  <si>
    <t xml:space="preserve">Bill No. 4 — Roofing &amp; Waterproofing</t>
  </si>
  <si>
    <t xml:space="preserve">4.01</t>
  </si>
  <si>
    <t xml:space="preserve">Timber or steel roof structure (trusses, purlins)</t>
  </si>
  <si>
    <t xml:space="preserve">4.02</t>
  </si>
  <si>
    <t xml:space="preserve">Pre-painted corrugated iron sheet roof covering</t>
  </si>
  <si>
    <t xml:space="preserve">4.03</t>
  </si>
  <si>
    <t xml:space="preserve">Ridge and hip capping</t>
  </si>
  <si>
    <t xml:space="preserve">4.04</t>
  </si>
  <si>
    <t xml:space="preserve">Fascia board and eaves finish</t>
  </si>
  <si>
    <t xml:space="preserve">4.05</t>
  </si>
  <si>
    <t xml:space="preserve">Rainwater gutters</t>
  </si>
  <si>
    <t xml:space="preserve">4.06</t>
  </si>
  <si>
    <t xml:space="preserve">Rainwater down pipes</t>
  </si>
  <si>
    <t xml:space="preserve">4.07</t>
  </si>
  <si>
    <t xml:space="preserve">Waterproofing to flat roof and wet areas</t>
  </si>
  <si>
    <t xml:space="preserve">4.08</t>
  </si>
  <si>
    <t xml:space="preserve">Roof insulation</t>
  </si>
  <si>
    <t xml:space="preserve">Bill No. 5 — Finishes</t>
  </si>
  <si>
    <t xml:space="preserve">5.01</t>
  </si>
  <si>
    <t xml:space="preserve">Cement sand plaster to internal walls, 2 coats</t>
  </si>
  <si>
    <t xml:space="preserve">5.02</t>
  </si>
  <si>
    <t xml:space="preserve">Cement sand plaster to external walls, 2 coats</t>
  </si>
  <si>
    <t xml:space="preserve">5.03</t>
  </si>
  <si>
    <t xml:space="preserve">Ceramic floor tiles incl. adhesive and grout</t>
  </si>
  <si>
    <t xml:space="preserve">5.04</t>
  </si>
  <si>
    <t xml:space="preserve">Ceramic wall tiles to wet areas</t>
  </si>
  <si>
    <t xml:space="preserve">5.05</t>
  </si>
  <si>
    <t xml:space="preserve">Skirting, 100 mm high</t>
  </si>
  <si>
    <t xml:space="preserve">5.06</t>
  </si>
  <si>
    <t xml:space="preserve">Terrazzo / granite finish to staircase and entrance</t>
  </si>
  <si>
    <t xml:space="preserve">5.07</t>
  </si>
  <si>
    <t xml:space="preserve">Gypsum / suspended ceiling</t>
  </si>
  <si>
    <t xml:space="preserve">5.08</t>
  </si>
  <si>
    <t xml:space="preserve">Emulsion paint to internal walls and ceilings, 3 coats</t>
  </si>
  <si>
    <t xml:space="preserve">5.09</t>
  </si>
  <si>
    <t xml:space="preserve">Weather-resistant paint to external walls, 3 coats</t>
  </si>
  <si>
    <t xml:space="preserve">5.10</t>
  </si>
  <si>
    <t xml:space="preserve">Screed 40 mm thick to floors</t>
  </si>
  <si>
    <t xml:space="preserve">Bill No. 6 — Doors, Windows &amp; Ironmongery</t>
  </si>
  <si>
    <t xml:space="preserve">6.01</t>
  </si>
  <si>
    <t xml:space="preserve">Timber panel doors incl. frame and ironmongery</t>
  </si>
  <si>
    <t xml:space="preserve">6.02</t>
  </si>
  <si>
    <t xml:space="preserve">Flush internal doors incl. frame and ironmongery</t>
  </si>
  <si>
    <t xml:space="preserve">6.03</t>
  </si>
  <si>
    <t xml:space="preserve">Steel external door</t>
  </si>
  <si>
    <t xml:space="preserve">6.04</t>
  </si>
  <si>
    <t xml:space="preserve">Aluminium sliding windows with glazing</t>
  </si>
  <si>
    <t xml:space="preserve">6.05</t>
  </si>
  <si>
    <t xml:space="preserve">Aluminium fixed windows with glazing</t>
  </si>
  <si>
    <t xml:space="preserve">6.06</t>
  </si>
  <si>
    <t xml:space="preserve">Steel security grill to windows</t>
  </si>
  <si>
    <t xml:space="preserve">6.07</t>
  </si>
  <si>
    <t xml:space="preserve">Door and window painting / varnishing</t>
  </si>
  <si>
    <t xml:space="preserve">Bill No. 7 — Mechanical, Electrical &amp; Plumbing (Provisional Sums)</t>
  </si>
  <si>
    <t xml:space="preserve">7.01</t>
  </si>
  <si>
    <t xml:space="preserve">Electrical installation: conduits, wiring, switches and sockets</t>
  </si>
  <si>
    <t xml:space="preserve">7.02</t>
  </si>
  <si>
    <t xml:space="preserve">Lighting fittings (supply and install)</t>
  </si>
  <si>
    <t xml:space="preserve">7.03</t>
  </si>
  <si>
    <t xml:space="preserve">Main distribution board and earthing</t>
  </si>
  <si>
    <t xml:space="preserve">7.04</t>
  </si>
  <si>
    <t xml:space="preserve">Water supply pipework and fittings</t>
  </si>
  <si>
    <t xml:space="preserve">7.05</t>
  </si>
  <si>
    <t xml:space="preserve">Sanitary fittings (WC, wash basins, showers)</t>
  </si>
  <si>
    <t xml:space="preserve">7.06</t>
  </si>
  <si>
    <t xml:space="preserve">Drainage and sewer pipework, manholes</t>
  </si>
  <si>
    <t xml:space="preserve">7.07</t>
  </si>
  <si>
    <t xml:space="preserve">Septic tank and soak-away</t>
  </si>
  <si>
    <t xml:space="preserve">7.08</t>
  </si>
  <si>
    <t xml:space="preserve">Fire safety equipment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</si>
</sst>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41C2E"/>
      <name val="Arial"/>
      <family val="0"/>
      <charset val="1"/>
    </font>
    <font>
      <i val="true"/>
      <sz val="9"/>
      <color rgb="FF5F6B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F6B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5A1F"/>
      <name val="Arial"/>
      <family val="0"/>
      <charset val="1"/>
    </font>
    <font>
      <b val="true"/>
      <sz val="10"/>
      <color rgb="FFFF5A1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141C2E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4CC"/>
      </left>
      <right style="thin">
        <color rgb="FFBFC4CC"/>
      </right>
      <top style="thin">
        <color rgb="FFBFC4CC"/>
      </top>
      <bottom style="thin">
        <color rgb="FFBF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4CC"/>
      <rgbColor rgb="FF808080"/>
      <rgbColor rgb="FF9999FF"/>
      <rgbColor rgb="FF993366"/>
      <rgbColor rgb="FFFFF9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A1F"/>
      <rgbColor rgb="FF5F6B7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1C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23.85" hidden="false" customHeight="false" outlineLevel="0" collapsed="false">
      <c r="A6" s="4" t="s">
        <v>4</v>
      </c>
    </row>
    <row r="7" customFormat="false" ht="23.8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4" t="s">
        <v>11</v>
      </c>
    </row>
    <row r="16" customFormat="false" ht="23.8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18.5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5" t="s">
        <v>17</v>
      </c>
      <c r="B3" s="6"/>
      <c r="C3" s="6"/>
      <c r="D3" s="6"/>
    </row>
    <row r="4" customFormat="false" ht="15" hidden="false" customHeight="false" outlineLevel="0" collapsed="false">
      <c r="A4" s="5" t="s">
        <v>18</v>
      </c>
      <c r="B4" s="6"/>
      <c r="C4" s="6"/>
      <c r="D4" s="6"/>
    </row>
    <row r="5" customFormat="false" ht="15" hidden="false" customHeight="false" outlineLevel="0" collapsed="false">
      <c r="A5" s="5" t="s">
        <v>19</v>
      </c>
      <c r="B5" s="6" t="s">
        <v>20</v>
      </c>
      <c r="C5" s="6"/>
      <c r="D5" s="6"/>
    </row>
    <row r="6" customFormat="false" ht="15" hidden="false" customHeight="false" outlineLevel="0" collapsed="false">
      <c r="A6" s="5" t="s">
        <v>21</v>
      </c>
      <c r="B6" s="6"/>
      <c r="C6" s="6"/>
      <c r="D6" s="6"/>
    </row>
    <row r="7" customFormat="false" ht="15" hidden="false" customHeight="false" outlineLevel="0" collapsed="false">
      <c r="A7" s="5" t="s">
        <v>22</v>
      </c>
      <c r="B7" s="6"/>
      <c r="C7" s="6"/>
      <c r="D7" s="6"/>
    </row>
    <row r="8" customFormat="false" ht="15" hidden="false" customHeight="false" outlineLevel="0" collapsed="false">
      <c r="A8" s="5" t="s">
        <v>23</v>
      </c>
      <c r="B8" s="6" t="s">
        <v>24</v>
      </c>
      <c r="C8" s="6"/>
      <c r="D8" s="6"/>
    </row>
    <row r="10" customFormat="false" ht="25.5" hidden="false" customHeight="true" outlineLevel="0" collapsed="false">
      <c r="A10" s="7" t="s">
        <v>25</v>
      </c>
      <c r="B10" s="7" t="s">
        <v>26</v>
      </c>
      <c r="C10" s="7" t="s">
        <v>27</v>
      </c>
      <c r="D10" s="7" t="s">
        <v>28</v>
      </c>
    </row>
    <row r="11" customFormat="false" ht="15" hidden="false" customHeight="false" outlineLevel="0" collapsed="false">
      <c r="A11" s="8" t="s">
        <v>29</v>
      </c>
      <c r="B11" s="8" t="s">
        <v>30</v>
      </c>
      <c r="C11" s="9" t="s">
        <v>31</v>
      </c>
      <c r="D11" s="10" t="n">
        <f aca="false">'1 Preliminaries'!F20</f>
        <v>0</v>
      </c>
    </row>
    <row r="12" customFormat="false" ht="15" hidden="false" customHeight="false" outlineLevel="0" collapsed="false">
      <c r="A12" s="8" t="s">
        <v>32</v>
      </c>
      <c r="B12" s="8" t="s">
        <v>33</v>
      </c>
      <c r="C12" s="9" t="s">
        <v>34</v>
      </c>
      <c r="D12" s="10" t="n">
        <f aca="false">'2 Substructure'!F22</f>
        <v>0</v>
      </c>
    </row>
    <row r="13" customFormat="false" ht="15" hidden="false" customHeight="false" outlineLevel="0" collapsed="false">
      <c r="A13" s="8" t="s">
        <v>35</v>
      </c>
      <c r="B13" s="8" t="s">
        <v>36</v>
      </c>
      <c r="C13" s="9" t="s">
        <v>37</v>
      </c>
      <c r="D13" s="10" t="n">
        <f aca="false">'3 Superstructure'!F21</f>
        <v>0</v>
      </c>
    </row>
    <row r="14" customFormat="false" ht="15" hidden="false" customHeight="false" outlineLevel="0" collapsed="false">
      <c r="A14" s="8" t="s">
        <v>38</v>
      </c>
      <c r="B14" s="8" t="s">
        <v>39</v>
      </c>
      <c r="C14" s="9" t="s">
        <v>40</v>
      </c>
      <c r="D14" s="10" t="n">
        <f aca="false">'4 Roofing'!F17</f>
        <v>0</v>
      </c>
    </row>
    <row r="15" customFormat="false" ht="15" hidden="false" customHeight="false" outlineLevel="0" collapsed="false">
      <c r="A15" s="8" t="s">
        <v>41</v>
      </c>
      <c r="B15" s="8" t="s">
        <v>42</v>
      </c>
      <c r="C15" s="9" t="s">
        <v>43</v>
      </c>
      <c r="D15" s="10" t="n">
        <f aca="false">'5 Finishes'!F19</f>
        <v>0</v>
      </c>
    </row>
    <row r="16" customFormat="false" ht="15" hidden="false" customHeight="false" outlineLevel="0" collapsed="false">
      <c r="A16" s="8" t="s">
        <v>44</v>
      </c>
      <c r="B16" s="8" t="s">
        <v>45</v>
      </c>
      <c r="C16" s="9" t="s">
        <v>46</v>
      </c>
      <c r="D16" s="10" t="n">
        <f aca="false">'6 Doors &amp; Windows'!F16</f>
        <v>0</v>
      </c>
    </row>
    <row r="17" customFormat="false" ht="15" hidden="false" customHeight="false" outlineLevel="0" collapsed="false">
      <c r="A17" s="8" t="s">
        <v>47</v>
      </c>
      <c r="B17" s="8" t="s">
        <v>48</v>
      </c>
      <c r="C17" s="9" t="s">
        <v>49</v>
      </c>
      <c r="D17" s="10" t="n">
        <f aca="false">'7 MEP (Provisional)'!F17</f>
        <v>0</v>
      </c>
    </row>
    <row r="18" customFormat="false" ht="15" hidden="false" customHeight="false" outlineLevel="0" collapsed="false">
      <c r="B18" s="5" t="s">
        <v>50</v>
      </c>
      <c r="D18" s="11" t="n">
        <f aca="false">SUM(D11:D17)</f>
        <v>0</v>
      </c>
    </row>
    <row r="19" customFormat="false" ht="15" hidden="false" customHeight="false" outlineLevel="0" collapsed="false">
      <c r="B19" s="12" t="s">
        <v>51</v>
      </c>
      <c r="C19" s="13" t="n">
        <v>0.05</v>
      </c>
      <c r="D19" s="10" t="n">
        <f aca="false">D18*C19</f>
        <v>0</v>
      </c>
    </row>
    <row r="20" customFormat="false" ht="15" hidden="false" customHeight="false" outlineLevel="0" collapsed="false">
      <c r="B20" s="5" t="s">
        <v>52</v>
      </c>
      <c r="D20" s="11" t="n">
        <f aca="false">D18+D19</f>
        <v>0</v>
      </c>
    </row>
    <row r="21" customFormat="false" ht="15" hidden="false" customHeight="false" outlineLevel="0" collapsed="false">
      <c r="B21" s="12" t="s">
        <v>53</v>
      </c>
      <c r="C21" s="13" t="n">
        <v>0.15</v>
      </c>
      <c r="D21" s="10" t="n">
        <f aca="false">D20*C21</f>
        <v>0</v>
      </c>
    </row>
    <row r="22" customFormat="false" ht="15" hidden="false" customHeight="false" outlineLevel="0" collapsed="false">
      <c r="A22" s="14"/>
      <c r="B22" s="15" t="s">
        <v>54</v>
      </c>
      <c r="C22" s="14"/>
      <c r="D22" s="16" t="n">
        <f aca="false">D20+D21</f>
        <v>0</v>
      </c>
    </row>
  </sheetData>
  <mergeCells count="6">
    <mergeCell ref="B3:D3"/>
    <mergeCell ref="B4:D4"/>
    <mergeCell ref="B5:D5"/>
    <mergeCell ref="B6:D6"/>
    <mergeCell ref="B7:D7"/>
    <mergeCell ref="B8:D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18.5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5" t="s">
        <v>57</v>
      </c>
      <c r="B3" s="12" t="n">
        <f aca="false">Summary!B3</f>
        <v>0</v>
      </c>
    </row>
    <row r="5" customFormat="false" ht="25.5" hidden="false" customHeight="true" outlineLevel="0" collapsed="false">
      <c r="A5" s="7" t="s">
        <v>58</v>
      </c>
      <c r="B5" s="7" t="s">
        <v>26</v>
      </c>
      <c r="C5" s="7" t="s">
        <v>59</v>
      </c>
      <c r="D5" s="7" t="s">
        <v>60</v>
      </c>
      <c r="E5" s="7" t="s">
        <v>61</v>
      </c>
      <c r="F5" s="7" t="s">
        <v>28</v>
      </c>
    </row>
    <row r="6" customFormat="false" ht="15" hidden="false" customHeight="false" outlineLevel="0" collapsed="false">
      <c r="A6" s="17" t="s">
        <v>62</v>
      </c>
      <c r="B6" s="17" t="s">
        <v>63</v>
      </c>
      <c r="C6" s="18" t="s">
        <v>64</v>
      </c>
      <c r="D6" s="19"/>
      <c r="E6" s="19"/>
      <c r="F6" s="10" t="n">
        <f aca="false">D6*E6</f>
        <v>0</v>
      </c>
    </row>
    <row r="7" customFormat="false" ht="15" hidden="false" customHeight="false" outlineLevel="0" collapsed="false">
      <c r="A7" s="17" t="s">
        <v>65</v>
      </c>
      <c r="B7" s="17" t="s">
        <v>66</v>
      </c>
      <c r="C7" s="18" t="s">
        <v>67</v>
      </c>
      <c r="D7" s="19"/>
      <c r="E7" s="19"/>
      <c r="F7" s="10" t="n">
        <f aca="false">D7*E7</f>
        <v>0</v>
      </c>
    </row>
    <row r="8" customFormat="false" ht="15" hidden="false" customHeight="false" outlineLevel="0" collapsed="false">
      <c r="A8" s="17" t="s">
        <v>68</v>
      </c>
      <c r="B8" s="17" t="s">
        <v>69</v>
      </c>
      <c r="C8" s="18" t="s">
        <v>64</v>
      </c>
      <c r="D8" s="19"/>
      <c r="E8" s="19"/>
      <c r="F8" s="10" t="n">
        <f aca="false">D8*E8</f>
        <v>0</v>
      </c>
    </row>
    <row r="9" customFormat="false" ht="15" hidden="false" customHeight="false" outlineLevel="0" collapsed="false">
      <c r="A9" s="17" t="s">
        <v>70</v>
      </c>
      <c r="B9" s="17" t="s">
        <v>71</v>
      </c>
      <c r="C9" s="18" t="s">
        <v>64</v>
      </c>
      <c r="D9" s="19"/>
      <c r="E9" s="19"/>
      <c r="F9" s="10" t="n">
        <f aca="false">D9*E9</f>
        <v>0</v>
      </c>
    </row>
    <row r="10" customFormat="false" ht="15" hidden="false" customHeight="false" outlineLevel="0" collapsed="false">
      <c r="A10" s="17" t="s">
        <v>72</v>
      </c>
      <c r="B10" s="17" t="s">
        <v>73</v>
      </c>
      <c r="C10" s="18" t="s">
        <v>64</v>
      </c>
      <c r="D10" s="19"/>
      <c r="E10" s="19"/>
      <c r="F10" s="10" t="n">
        <f aca="false">D10*E10</f>
        <v>0</v>
      </c>
    </row>
    <row r="11" customFormat="false" ht="15" hidden="false" customHeight="false" outlineLevel="0" collapsed="false">
      <c r="A11" s="17" t="s">
        <v>74</v>
      </c>
      <c r="B11" s="17" t="s">
        <v>75</v>
      </c>
      <c r="C11" s="18" t="s">
        <v>64</v>
      </c>
      <c r="D11" s="19"/>
      <c r="E11" s="19"/>
      <c r="F11" s="10" t="n">
        <f aca="false">D11*E11</f>
        <v>0</v>
      </c>
    </row>
    <row r="12" customFormat="false" ht="15" hidden="false" customHeight="false" outlineLevel="0" collapsed="false">
      <c r="A12" s="17" t="s">
        <v>76</v>
      </c>
      <c r="B12" s="17" t="s">
        <v>77</v>
      </c>
      <c r="C12" s="18" t="s">
        <v>64</v>
      </c>
      <c r="D12" s="19"/>
      <c r="E12" s="19"/>
      <c r="F12" s="10" t="n">
        <f aca="false">D12*E12</f>
        <v>0</v>
      </c>
    </row>
    <row r="13" customFormat="false" ht="15" hidden="false" customHeight="false" outlineLevel="0" collapsed="false">
      <c r="A13" s="17" t="s">
        <v>78</v>
      </c>
      <c r="B13" s="17" t="s">
        <v>79</v>
      </c>
      <c r="C13" s="18" t="s">
        <v>80</v>
      </c>
      <c r="D13" s="19"/>
      <c r="E13" s="19"/>
      <c r="F13" s="10" t="n">
        <f aca="false">D13*E13</f>
        <v>0</v>
      </c>
    </row>
    <row r="14" customFormat="false" ht="15" hidden="false" customHeight="false" outlineLevel="0" collapsed="false">
      <c r="A14" s="17" t="s">
        <v>81</v>
      </c>
      <c r="B14" s="17" t="s">
        <v>82</v>
      </c>
      <c r="C14" s="18" t="s">
        <v>64</v>
      </c>
      <c r="D14" s="19"/>
      <c r="E14" s="19"/>
      <c r="F14" s="10" t="n">
        <f aca="false">D14*E14</f>
        <v>0</v>
      </c>
    </row>
    <row r="15" customFormat="false" ht="15" hidden="false" customHeight="false" outlineLevel="0" collapsed="false">
      <c r="A15" s="17" t="s">
        <v>83</v>
      </c>
      <c r="B15" s="17" t="s">
        <v>84</v>
      </c>
      <c r="C15" s="18" t="s">
        <v>85</v>
      </c>
      <c r="D15" s="19"/>
      <c r="E15" s="19"/>
      <c r="F15" s="10" t="n">
        <f aca="false">D15*E15</f>
        <v>0</v>
      </c>
    </row>
    <row r="16" customFormat="false" ht="15" hidden="false" customHeight="false" outlineLevel="0" collapsed="false">
      <c r="A16" s="17" t="s">
        <v>86</v>
      </c>
      <c r="B16" s="17" t="s">
        <v>87</v>
      </c>
      <c r="C16" s="18" t="s">
        <v>64</v>
      </c>
      <c r="D16" s="19"/>
      <c r="E16" s="19"/>
      <c r="F16" s="10" t="n">
        <f aca="false">D16*E16</f>
        <v>0</v>
      </c>
    </row>
    <row r="17" customFormat="false" ht="15" hidden="false" customHeight="false" outlineLevel="0" collapsed="false">
      <c r="A17" s="6"/>
      <c r="B17" s="6"/>
      <c r="C17" s="6"/>
      <c r="D17" s="19"/>
      <c r="E17" s="19"/>
      <c r="F17" s="10" t="n">
        <f aca="false">D17*E17</f>
        <v>0</v>
      </c>
    </row>
    <row r="18" customFormat="false" ht="15" hidden="false" customHeight="false" outlineLevel="0" collapsed="false">
      <c r="A18" s="6"/>
      <c r="B18" s="6"/>
      <c r="C18" s="6"/>
      <c r="D18" s="19"/>
      <c r="E18" s="19"/>
      <c r="F18" s="10" t="n">
        <f aca="false">D18*E18</f>
        <v>0</v>
      </c>
    </row>
    <row r="19" customFormat="false" ht="15" hidden="false" customHeight="false" outlineLevel="0" collapsed="false">
      <c r="A19" s="6"/>
      <c r="B19" s="6"/>
      <c r="C19" s="6"/>
      <c r="D19" s="19"/>
      <c r="E19" s="19"/>
      <c r="F19" s="10" t="n">
        <f aca="false">D19*E19</f>
        <v>0</v>
      </c>
    </row>
    <row r="20" customFormat="false" ht="15" hidden="false" customHeight="false" outlineLevel="0" collapsed="false">
      <c r="A20" s="14"/>
      <c r="B20" s="20" t="s">
        <v>88</v>
      </c>
      <c r="C20" s="14"/>
      <c r="D20" s="14"/>
      <c r="E20" s="14"/>
      <c r="F20" s="21" t="n">
        <f aca="false">SUM(F6:F19)</f>
        <v>0</v>
      </c>
    </row>
  </sheetData>
  <dataValidations count="1">
    <dataValidation allowBlank="true" errorStyle="stop" operator="between" showDropDown="false" showErrorMessage="false" showInputMessage="false" sqref="C6:C19" type="list">
      <formula1>"m,m2,m3,kg,ton,no,nr,LS,item,day,hr,bag,set,sum"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18.5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5" t="s">
        <v>57</v>
      </c>
      <c r="B3" s="12" t="n">
        <f aca="false">Summary!B3</f>
        <v>0</v>
      </c>
    </row>
    <row r="5" customFormat="false" ht="25.5" hidden="false" customHeight="true" outlineLevel="0" collapsed="false">
      <c r="A5" s="7" t="s">
        <v>58</v>
      </c>
      <c r="B5" s="7" t="s">
        <v>26</v>
      </c>
      <c r="C5" s="7" t="s">
        <v>59</v>
      </c>
      <c r="D5" s="7" t="s">
        <v>60</v>
      </c>
      <c r="E5" s="7" t="s">
        <v>61</v>
      </c>
      <c r="F5" s="7" t="s">
        <v>28</v>
      </c>
    </row>
    <row r="6" customFormat="false" ht="15" hidden="false" customHeight="false" outlineLevel="0" collapsed="false">
      <c r="A6" s="17" t="s">
        <v>90</v>
      </c>
      <c r="B6" s="17" t="s">
        <v>91</v>
      </c>
      <c r="C6" s="18" t="s">
        <v>92</v>
      </c>
      <c r="D6" s="19"/>
      <c r="E6" s="19"/>
      <c r="F6" s="10" t="n">
        <f aca="false">D6*E6</f>
        <v>0</v>
      </c>
    </row>
    <row r="7" customFormat="false" ht="15" hidden="false" customHeight="false" outlineLevel="0" collapsed="false">
      <c r="A7" s="17" t="s">
        <v>93</v>
      </c>
      <c r="B7" s="17" t="s">
        <v>94</v>
      </c>
      <c r="C7" s="18" t="s">
        <v>92</v>
      </c>
      <c r="D7" s="19"/>
      <c r="E7" s="19"/>
      <c r="F7" s="10" t="n">
        <f aca="false">D7*E7</f>
        <v>0</v>
      </c>
    </row>
    <row r="8" customFormat="false" ht="15" hidden="false" customHeight="false" outlineLevel="0" collapsed="false">
      <c r="A8" s="17" t="s">
        <v>95</v>
      </c>
      <c r="B8" s="17" t="s">
        <v>96</v>
      </c>
      <c r="C8" s="18" t="s">
        <v>92</v>
      </c>
      <c r="D8" s="19"/>
      <c r="E8" s="19"/>
      <c r="F8" s="10" t="n">
        <f aca="false">D8*E8</f>
        <v>0</v>
      </c>
    </row>
    <row r="9" customFormat="false" ht="15" hidden="false" customHeight="false" outlineLevel="0" collapsed="false">
      <c r="A9" s="17" t="s">
        <v>97</v>
      </c>
      <c r="B9" s="17" t="s">
        <v>98</v>
      </c>
      <c r="C9" s="18" t="s">
        <v>80</v>
      </c>
      <c r="D9" s="19"/>
      <c r="E9" s="19"/>
      <c r="F9" s="10" t="n">
        <f aca="false">D9*E9</f>
        <v>0</v>
      </c>
    </row>
    <row r="10" customFormat="false" ht="15" hidden="false" customHeight="false" outlineLevel="0" collapsed="false">
      <c r="A10" s="17" t="s">
        <v>99</v>
      </c>
      <c r="B10" s="17" t="s">
        <v>100</v>
      </c>
      <c r="C10" s="18" t="s">
        <v>80</v>
      </c>
      <c r="D10" s="19"/>
      <c r="E10" s="19"/>
      <c r="F10" s="10" t="n">
        <f aca="false">D10*E10</f>
        <v>0</v>
      </c>
    </row>
    <row r="11" customFormat="false" ht="15" hidden="false" customHeight="false" outlineLevel="0" collapsed="false">
      <c r="A11" s="17" t="s">
        <v>101</v>
      </c>
      <c r="B11" s="17" t="s">
        <v>102</v>
      </c>
      <c r="C11" s="18" t="s">
        <v>80</v>
      </c>
      <c r="D11" s="19"/>
      <c r="E11" s="19"/>
      <c r="F11" s="10" t="n">
        <f aca="false">D11*E11</f>
        <v>0</v>
      </c>
    </row>
    <row r="12" customFormat="false" ht="15" hidden="false" customHeight="false" outlineLevel="0" collapsed="false">
      <c r="A12" s="17" t="s">
        <v>103</v>
      </c>
      <c r="B12" s="17" t="s">
        <v>104</v>
      </c>
      <c r="C12" s="18" t="s">
        <v>92</v>
      </c>
      <c r="D12" s="19"/>
      <c r="E12" s="19"/>
      <c r="F12" s="10" t="n">
        <f aca="false">D12*E12</f>
        <v>0</v>
      </c>
    </row>
    <row r="13" customFormat="false" ht="15" hidden="false" customHeight="false" outlineLevel="0" collapsed="false">
      <c r="A13" s="17" t="s">
        <v>105</v>
      </c>
      <c r="B13" s="17" t="s">
        <v>106</v>
      </c>
      <c r="C13" s="18" t="s">
        <v>92</v>
      </c>
      <c r="D13" s="19"/>
      <c r="E13" s="19"/>
      <c r="F13" s="10" t="n">
        <f aca="false">D13*E13</f>
        <v>0</v>
      </c>
    </row>
    <row r="14" customFormat="false" ht="15" hidden="false" customHeight="false" outlineLevel="0" collapsed="false">
      <c r="A14" s="17" t="s">
        <v>107</v>
      </c>
      <c r="B14" s="17" t="s">
        <v>108</v>
      </c>
      <c r="C14" s="18" t="s">
        <v>80</v>
      </c>
      <c r="D14" s="19"/>
      <c r="E14" s="19"/>
      <c r="F14" s="10" t="n">
        <f aca="false">D14*E14</f>
        <v>0</v>
      </c>
    </row>
    <row r="15" customFormat="false" ht="15" hidden="false" customHeight="false" outlineLevel="0" collapsed="false">
      <c r="A15" s="17" t="s">
        <v>109</v>
      </c>
      <c r="B15" s="17" t="s">
        <v>110</v>
      </c>
      <c r="C15" s="18" t="s">
        <v>111</v>
      </c>
      <c r="D15" s="19"/>
      <c r="E15" s="19"/>
      <c r="F15" s="10" t="n">
        <f aca="false">D15*E15</f>
        <v>0</v>
      </c>
    </row>
    <row r="16" customFormat="false" ht="15" hidden="false" customHeight="false" outlineLevel="0" collapsed="false">
      <c r="A16" s="17" t="s">
        <v>112</v>
      </c>
      <c r="B16" s="17" t="s">
        <v>113</v>
      </c>
      <c r="C16" s="18" t="s">
        <v>92</v>
      </c>
      <c r="D16" s="19"/>
      <c r="E16" s="19"/>
      <c r="F16" s="10" t="n">
        <f aca="false">D16*E16</f>
        <v>0</v>
      </c>
    </row>
    <row r="17" customFormat="false" ht="15" hidden="false" customHeight="false" outlineLevel="0" collapsed="false">
      <c r="A17" s="17" t="s">
        <v>114</v>
      </c>
      <c r="B17" s="17" t="s">
        <v>115</v>
      </c>
      <c r="C17" s="18" t="s">
        <v>80</v>
      </c>
      <c r="D17" s="19"/>
      <c r="E17" s="19"/>
      <c r="F17" s="10" t="n">
        <f aca="false">D17*E17</f>
        <v>0</v>
      </c>
    </row>
    <row r="18" customFormat="false" ht="15" hidden="false" customHeight="false" outlineLevel="0" collapsed="false">
      <c r="A18" s="17" t="s">
        <v>116</v>
      </c>
      <c r="B18" s="17" t="s">
        <v>117</v>
      </c>
      <c r="C18" s="18" t="s">
        <v>80</v>
      </c>
      <c r="D18" s="19"/>
      <c r="E18" s="19"/>
      <c r="F18" s="10" t="n">
        <f aca="false">D18*E18</f>
        <v>0</v>
      </c>
    </row>
    <row r="19" customFormat="false" ht="15" hidden="false" customHeight="false" outlineLevel="0" collapsed="false">
      <c r="A19" s="6"/>
      <c r="B19" s="6"/>
      <c r="C19" s="6"/>
      <c r="D19" s="19"/>
      <c r="E19" s="19"/>
      <c r="F19" s="10" t="n">
        <f aca="false">D19*E19</f>
        <v>0</v>
      </c>
    </row>
    <row r="20" customFormat="false" ht="15" hidden="false" customHeight="false" outlineLevel="0" collapsed="false">
      <c r="A20" s="6"/>
      <c r="B20" s="6"/>
      <c r="C20" s="6"/>
      <c r="D20" s="19"/>
      <c r="E20" s="19"/>
      <c r="F20" s="10" t="n">
        <f aca="false">D20*E20</f>
        <v>0</v>
      </c>
    </row>
    <row r="21" customFormat="false" ht="15" hidden="false" customHeight="false" outlineLevel="0" collapsed="false">
      <c r="A21" s="6"/>
      <c r="B21" s="6"/>
      <c r="C21" s="6"/>
      <c r="D21" s="19"/>
      <c r="E21" s="19"/>
      <c r="F21" s="10" t="n">
        <f aca="false">D21*E21</f>
        <v>0</v>
      </c>
    </row>
    <row r="22" customFormat="false" ht="15" hidden="false" customHeight="false" outlineLevel="0" collapsed="false">
      <c r="A22" s="14"/>
      <c r="B22" s="20" t="s">
        <v>88</v>
      </c>
      <c r="C22" s="14"/>
      <c r="D22" s="14"/>
      <c r="E22" s="14"/>
      <c r="F22" s="21" t="n">
        <f aca="false">SUM(F6:F21)</f>
        <v>0</v>
      </c>
    </row>
  </sheetData>
  <dataValidations count="1">
    <dataValidation allowBlank="true" errorStyle="stop" operator="between" showDropDown="false" showErrorMessage="false" showInputMessage="false" sqref="C6:C21" type="list">
      <formula1>"m,m2,m3,kg,ton,no,nr,LS,item,day,hr,bag,set,sum"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18.5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5" t="s">
        <v>57</v>
      </c>
      <c r="B3" s="12" t="n">
        <f aca="false">Summary!B3</f>
        <v>0</v>
      </c>
    </row>
    <row r="5" customFormat="false" ht="25.5" hidden="false" customHeight="true" outlineLevel="0" collapsed="false">
      <c r="A5" s="7" t="s">
        <v>58</v>
      </c>
      <c r="B5" s="7" t="s">
        <v>26</v>
      </c>
      <c r="C5" s="7" t="s">
        <v>59</v>
      </c>
      <c r="D5" s="7" t="s">
        <v>60</v>
      </c>
      <c r="E5" s="7" t="s">
        <v>61</v>
      </c>
      <c r="F5" s="7" t="s">
        <v>28</v>
      </c>
    </row>
    <row r="6" customFormat="false" ht="15" hidden="false" customHeight="false" outlineLevel="0" collapsed="false">
      <c r="A6" s="17" t="s">
        <v>119</v>
      </c>
      <c r="B6" s="17" t="s">
        <v>120</v>
      </c>
      <c r="C6" s="18" t="s">
        <v>92</v>
      </c>
      <c r="D6" s="19"/>
      <c r="E6" s="19"/>
      <c r="F6" s="10" t="n">
        <f aca="false">D6*E6</f>
        <v>0</v>
      </c>
    </row>
    <row r="7" customFormat="false" ht="15" hidden="false" customHeight="false" outlineLevel="0" collapsed="false">
      <c r="A7" s="17" t="s">
        <v>121</v>
      </c>
      <c r="B7" s="17" t="s">
        <v>122</v>
      </c>
      <c r="C7" s="18" t="s">
        <v>92</v>
      </c>
      <c r="D7" s="19"/>
      <c r="E7" s="19"/>
      <c r="F7" s="10" t="n">
        <f aca="false">D7*E7</f>
        <v>0</v>
      </c>
    </row>
    <row r="8" customFormat="false" ht="15" hidden="false" customHeight="false" outlineLevel="0" collapsed="false">
      <c r="A8" s="17" t="s">
        <v>123</v>
      </c>
      <c r="B8" s="17" t="s">
        <v>124</v>
      </c>
      <c r="C8" s="18" t="s">
        <v>92</v>
      </c>
      <c r="D8" s="19"/>
      <c r="E8" s="19"/>
      <c r="F8" s="10" t="n">
        <f aca="false">D8*E8</f>
        <v>0</v>
      </c>
    </row>
    <row r="9" customFormat="false" ht="15" hidden="false" customHeight="false" outlineLevel="0" collapsed="false">
      <c r="A9" s="17" t="s">
        <v>125</v>
      </c>
      <c r="B9" s="17" t="s">
        <v>126</v>
      </c>
      <c r="C9" s="18" t="s">
        <v>92</v>
      </c>
      <c r="D9" s="19"/>
      <c r="E9" s="19"/>
      <c r="F9" s="10" t="n">
        <f aca="false">D9*E9</f>
        <v>0</v>
      </c>
    </row>
    <row r="10" customFormat="false" ht="15" hidden="false" customHeight="false" outlineLevel="0" collapsed="false">
      <c r="A10" s="17" t="s">
        <v>127</v>
      </c>
      <c r="B10" s="17" t="s">
        <v>128</v>
      </c>
      <c r="C10" s="18" t="s">
        <v>80</v>
      </c>
      <c r="D10" s="19"/>
      <c r="E10" s="19"/>
      <c r="F10" s="10" t="n">
        <f aca="false">D10*E10</f>
        <v>0</v>
      </c>
    </row>
    <row r="11" customFormat="false" ht="15" hidden="false" customHeight="false" outlineLevel="0" collapsed="false">
      <c r="A11" s="17" t="s">
        <v>129</v>
      </c>
      <c r="B11" s="17" t="s">
        <v>130</v>
      </c>
      <c r="C11" s="18" t="s">
        <v>80</v>
      </c>
      <c r="D11" s="19"/>
      <c r="E11" s="19"/>
      <c r="F11" s="10" t="n">
        <f aca="false">D11*E11</f>
        <v>0</v>
      </c>
    </row>
    <row r="12" customFormat="false" ht="15" hidden="false" customHeight="false" outlineLevel="0" collapsed="false">
      <c r="A12" s="17" t="s">
        <v>131</v>
      </c>
      <c r="B12" s="17" t="s">
        <v>110</v>
      </c>
      <c r="C12" s="18" t="s">
        <v>111</v>
      </c>
      <c r="D12" s="19"/>
      <c r="E12" s="19"/>
      <c r="F12" s="10" t="n">
        <f aca="false">D12*E12</f>
        <v>0</v>
      </c>
    </row>
    <row r="13" customFormat="false" ht="15" hidden="false" customHeight="false" outlineLevel="0" collapsed="false">
      <c r="A13" s="17" t="s">
        <v>132</v>
      </c>
      <c r="B13" s="17" t="s">
        <v>133</v>
      </c>
      <c r="C13" s="18" t="s">
        <v>80</v>
      </c>
      <c r="D13" s="19"/>
      <c r="E13" s="19"/>
      <c r="F13" s="10" t="n">
        <f aca="false">D13*E13</f>
        <v>0</v>
      </c>
    </row>
    <row r="14" customFormat="false" ht="15" hidden="false" customHeight="false" outlineLevel="0" collapsed="false">
      <c r="A14" s="17" t="s">
        <v>134</v>
      </c>
      <c r="B14" s="17" t="s">
        <v>135</v>
      </c>
      <c r="C14" s="18" t="s">
        <v>80</v>
      </c>
      <c r="D14" s="19"/>
      <c r="E14" s="19"/>
      <c r="F14" s="10" t="n">
        <f aca="false">D14*E14</f>
        <v>0</v>
      </c>
    </row>
    <row r="15" customFormat="false" ht="15" hidden="false" customHeight="false" outlineLevel="0" collapsed="false">
      <c r="A15" s="17" t="s">
        <v>136</v>
      </c>
      <c r="B15" s="17" t="s">
        <v>137</v>
      </c>
      <c r="C15" s="18" t="s">
        <v>80</v>
      </c>
      <c r="D15" s="19"/>
      <c r="E15" s="19"/>
      <c r="F15" s="10" t="n">
        <f aca="false">D15*E15</f>
        <v>0</v>
      </c>
    </row>
    <row r="16" customFormat="false" ht="15" hidden="false" customHeight="false" outlineLevel="0" collapsed="false">
      <c r="A16" s="17" t="s">
        <v>138</v>
      </c>
      <c r="B16" s="17" t="s">
        <v>139</v>
      </c>
      <c r="C16" s="18" t="s">
        <v>85</v>
      </c>
      <c r="D16" s="19"/>
      <c r="E16" s="19"/>
      <c r="F16" s="10" t="n">
        <f aca="false">D16*E16</f>
        <v>0</v>
      </c>
    </row>
    <row r="17" customFormat="false" ht="15" hidden="false" customHeight="false" outlineLevel="0" collapsed="false">
      <c r="A17" s="17" t="s">
        <v>140</v>
      </c>
      <c r="B17" s="17" t="s">
        <v>141</v>
      </c>
      <c r="C17" s="18" t="s">
        <v>85</v>
      </c>
      <c r="D17" s="19"/>
      <c r="E17" s="19"/>
      <c r="F17" s="10" t="n">
        <f aca="false">D17*E17</f>
        <v>0</v>
      </c>
    </row>
    <row r="18" customFormat="false" ht="15" hidden="false" customHeight="false" outlineLevel="0" collapsed="false">
      <c r="A18" s="6"/>
      <c r="B18" s="6"/>
      <c r="C18" s="6"/>
      <c r="D18" s="19"/>
      <c r="E18" s="19"/>
      <c r="F18" s="10" t="n">
        <f aca="false">D18*E18</f>
        <v>0</v>
      </c>
    </row>
    <row r="19" customFormat="false" ht="15" hidden="false" customHeight="false" outlineLevel="0" collapsed="false">
      <c r="A19" s="6"/>
      <c r="B19" s="6"/>
      <c r="C19" s="6"/>
      <c r="D19" s="19"/>
      <c r="E19" s="19"/>
      <c r="F19" s="10" t="n">
        <f aca="false">D19*E19</f>
        <v>0</v>
      </c>
    </row>
    <row r="20" customFormat="false" ht="15" hidden="false" customHeight="false" outlineLevel="0" collapsed="false">
      <c r="A20" s="6"/>
      <c r="B20" s="6"/>
      <c r="C20" s="6"/>
      <c r="D20" s="19"/>
      <c r="E20" s="19"/>
      <c r="F20" s="10" t="n">
        <f aca="false">D20*E20</f>
        <v>0</v>
      </c>
    </row>
    <row r="21" customFormat="false" ht="15" hidden="false" customHeight="false" outlineLevel="0" collapsed="false">
      <c r="A21" s="14"/>
      <c r="B21" s="20" t="s">
        <v>88</v>
      </c>
      <c r="C21" s="14"/>
      <c r="D21" s="14"/>
      <c r="E21" s="14"/>
      <c r="F21" s="21" t="n">
        <f aca="false">SUM(F6:F20)</f>
        <v>0</v>
      </c>
    </row>
  </sheetData>
  <dataValidations count="1">
    <dataValidation allowBlank="true" errorStyle="stop" operator="between" showDropDown="false" showErrorMessage="false" showInputMessage="false" sqref="C6:C20" type="list">
      <formula1>"m,m2,m3,kg,ton,no,nr,LS,item,day,hr,bag,set,sum"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18.5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5" t="s">
        <v>57</v>
      </c>
      <c r="B3" s="12" t="n">
        <f aca="false">Summary!B3</f>
        <v>0</v>
      </c>
    </row>
    <row r="5" customFormat="false" ht="25.5" hidden="false" customHeight="true" outlineLevel="0" collapsed="false">
      <c r="A5" s="7" t="s">
        <v>58</v>
      </c>
      <c r="B5" s="7" t="s">
        <v>26</v>
      </c>
      <c r="C5" s="7" t="s">
        <v>59</v>
      </c>
      <c r="D5" s="7" t="s">
        <v>60</v>
      </c>
      <c r="E5" s="7" t="s">
        <v>61</v>
      </c>
      <c r="F5" s="7" t="s">
        <v>28</v>
      </c>
    </row>
    <row r="6" customFormat="false" ht="15" hidden="false" customHeight="false" outlineLevel="0" collapsed="false">
      <c r="A6" s="17" t="s">
        <v>143</v>
      </c>
      <c r="B6" s="17" t="s">
        <v>144</v>
      </c>
      <c r="C6" s="18" t="s">
        <v>80</v>
      </c>
      <c r="D6" s="19"/>
      <c r="E6" s="19"/>
      <c r="F6" s="10" t="n">
        <f aca="false">D6*E6</f>
        <v>0</v>
      </c>
    </row>
    <row r="7" customFormat="false" ht="15" hidden="false" customHeight="false" outlineLevel="0" collapsed="false">
      <c r="A7" s="17" t="s">
        <v>145</v>
      </c>
      <c r="B7" s="17" t="s">
        <v>146</v>
      </c>
      <c r="C7" s="18" t="s">
        <v>80</v>
      </c>
      <c r="D7" s="19"/>
      <c r="E7" s="19"/>
      <c r="F7" s="10" t="n">
        <f aca="false">D7*E7</f>
        <v>0</v>
      </c>
    </row>
    <row r="8" customFormat="false" ht="15" hidden="false" customHeight="false" outlineLevel="0" collapsed="false">
      <c r="A8" s="17" t="s">
        <v>147</v>
      </c>
      <c r="B8" s="17" t="s">
        <v>148</v>
      </c>
      <c r="C8" s="18" t="s">
        <v>85</v>
      </c>
      <c r="D8" s="19"/>
      <c r="E8" s="19"/>
      <c r="F8" s="10" t="n">
        <f aca="false">D8*E8</f>
        <v>0</v>
      </c>
    </row>
    <row r="9" customFormat="false" ht="15" hidden="false" customHeight="false" outlineLevel="0" collapsed="false">
      <c r="A9" s="17" t="s">
        <v>149</v>
      </c>
      <c r="B9" s="17" t="s">
        <v>150</v>
      </c>
      <c r="C9" s="18" t="s">
        <v>85</v>
      </c>
      <c r="D9" s="19"/>
      <c r="E9" s="19"/>
      <c r="F9" s="10" t="n">
        <f aca="false">D9*E9</f>
        <v>0</v>
      </c>
    </row>
    <row r="10" customFormat="false" ht="15" hidden="false" customHeight="false" outlineLevel="0" collapsed="false">
      <c r="A10" s="17" t="s">
        <v>151</v>
      </c>
      <c r="B10" s="17" t="s">
        <v>152</v>
      </c>
      <c r="C10" s="18" t="s">
        <v>85</v>
      </c>
      <c r="D10" s="19"/>
      <c r="E10" s="19"/>
      <c r="F10" s="10" t="n">
        <f aca="false">D10*E10</f>
        <v>0</v>
      </c>
    </row>
    <row r="11" customFormat="false" ht="15" hidden="false" customHeight="false" outlineLevel="0" collapsed="false">
      <c r="A11" s="17" t="s">
        <v>153</v>
      </c>
      <c r="B11" s="17" t="s">
        <v>154</v>
      </c>
      <c r="C11" s="18" t="s">
        <v>85</v>
      </c>
      <c r="D11" s="19"/>
      <c r="E11" s="19"/>
      <c r="F11" s="10" t="n">
        <f aca="false">D11*E11</f>
        <v>0</v>
      </c>
    </row>
    <row r="12" customFormat="false" ht="15" hidden="false" customHeight="false" outlineLevel="0" collapsed="false">
      <c r="A12" s="17" t="s">
        <v>155</v>
      </c>
      <c r="B12" s="17" t="s">
        <v>156</v>
      </c>
      <c r="C12" s="18" t="s">
        <v>80</v>
      </c>
      <c r="D12" s="19"/>
      <c r="E12" s="19"/>
      <c r="F12" s="10" t="n">
        <f aca="false">D12*E12</f>
        <v>0</v>
      </c>
    </row>
    <row r="13" customFormat="false" ht="15" hidden="false" customHeight="false" outlineLevel="0" collapsed="false">
      <c r="A13" s="17" t="s">
        <v>157</v>
      </c>
      <c r="B13" s="17" t="s">
        <v>158</v>
      </c>
      <c r="C13" s="18" t="s">
        <v>80</v>
      </c>
      <c r="D13" s="19"/>
      <c r="E13" s="19"/>
      <c r="F13" s="10" t="n">
        <f aca="false">D13*E13</f>
        <v>0</v>
      </c>
    </row>
    <row r="14" customFormat="false" ht="15" hidden="false" customHeight="false" outlineLevel="0" collapsed="false">
      <c r="A14" s="6"/>
      <c r="B14" s="6"/>
      <c r="C14" s="6"/>
      <c r="D14" s="19"/>
      <c r="E14" s="19"/>
      <c r="F14" s="10" t="n">
        <f aca="false">D14*E14</f>
        <v>0</v>
      </c>
    </row>
    <row r="15" customFormat="false" ht="15" hidden="false" customHeight="false" outlineLevel="0" collapsed="false">
      <c r="A15" s="6"/>
      <c r="B15" s="6"/>
      <c r="C15" s="6"/>
      <c r="D15" s="19"/>
      <c r="E15" s="19"/>
      <c r="F15" s="10" t="n">
        <f aca="false">D15*E15</f>
        <v>0</v>
      </c>
    </row>
    <row r="16" customFormat="false" ht="15" hidden="false" customHeight="false" outlineLevel="0" collapsed="false">
      <c r="A16" s="6"/>
      <c r="B16" s="6"/>
      <c r="C16" s="6"/>
      <c r="D16" s="19"/>
      <c r="E16" s="19"/>
      <c r="F16" s="10" t="n">
        <f aca="false">D16*E16</f>
        <v>0</v>
      </c>
    </row>
    <row r="17" customFormat="false" ht="15" hidden="false" customHeight="false" outlineLevel="0" collapsed="false">
      <c r="A17" s="14"/>
      <c r="B17" s="20" t="s">
        <v>88</v>
      </c>
      <c r="C17" s="14"/>
      <c r="D17" s="14"/>
      <c r="E17" s="14"/>
      <c r="F17" s="21" t="n">
        <f aca="false">SUM(F6:F16)</f>
        <v>0</v>
      </c>
    </row>
  </sheetData>
  <dataValidations count="1">
    <dataValidation allowBlank="true" errorStyle="stop" operator="between" showDropDown="false" showErrorMessage="false" showInputMessage="false" sqref="C6:C16" type="list">
      <formula1>"m,m2,m3,kg,ton,no,nr,LS,item,day,hr,bag,set,sum"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18.5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5" t="s">
        <v>57</v>
      </c>
      <c r="B3" s="12" t="n">
        <f aca="false">Summary!B3</f>
        <v>0</v>
      </c>
    </row>
    <row r="5" customFormat="false" ht="25.5" hidden="false" customHeight="true" outlineLevel="0" collapsed="false">
      <c r="A5" s="7" t="s">
        <v>58</v>
      </c>
      <c r="B5" s="7" t="s">
        <v>26</v>
      </c>
      <c r="C5" s="7" t="s">
        <v>59</v>
      </c>
      <c r="D5" s="7" t="s">
        <v>60</v>
      </c>
      <c r="E5" s="7" t="s">
        <v>61</v>
      </c>
      <c r="F5" s="7" t="s">
        <v>28</v>
      </c>
    </row>
    <row r="6" customFormat="false" ht="15" hidden="false" customHeight="false" outlineLevel="0" collapsed="false">
      <c r="A6" s="17" t="s">
        <v>160</v>
      </c>
      <c r="B6" s="17" t="s">
        <v>161</v>
      </c>
      <c r="C6" s="18" t="s">
        <v>80</v>
      </c>
      <c r="D6" s="19"/>
      <c r="E6" s="19"/>
      <c r="F6" s="10" t="n">
        <f aca="false">D6*E6</f>
        <v>0</v>
      </c>
    </row>
    <row r="7" customFormat="false" ht="15" hidden="false" customHeight="false" outlineLevel="0" collapsed="false">
      <c r="A7" s="17" t="s">
        <v>162</v>
      </c>
      <c r="B7" s="17" t="s">
        <v>163</v>
      </c>
      <c r="C7" s="18" t="s">
        <v>80</v>
      </c>
      <c r="D7" s="19"/>
      <c r="E7" s="19"/>
      <c r="F7" s="10" t="n">
        <f aca="false">D7*E7</f>
        <v>0</v>
      </c>
    </row>
    <row r="8" customFormat="false" ht="15" hidden="false" customHeight="false" outlineLevel="0" collapsed="false">
      <c r="A8" s="17" t="s">
        <v>164</v>
      </c>
      <c r="B8" s="17" t="s">
        <v>165</v>
      </c>
      <c r="C8" s="18" t="s">
        <v>80</v>
      </c>
      <c r="D8" s="19"/>
      <c r="E8" s="19"/>
      <c r="F8" s="10" t="n">
        <f aca="false">D8*E8</f>
        <v>0</v>
      </c>
    </row>
    <row r="9" customFormat="false" ht="15" hidden="false" customHeight="false" outlineLevel="0" collapsed="false">
      <c r="A9" s="17" t="s">
        <v>166</v>
      </c>
      <c r="B9" s="17" t="s">
        <v>167</v>
      </c>
      <c r="C9" s="18" t="s">
        <v>80</v>
      </c>
      <c r="D9" s="19"/>
      <c r="E9" s="19"/>
      <c r="F9" s="10" t="n">
        <f aca="false">D9*E9</f>
        <v>0</v>
      </c>
    </row>
    <row r="10" customFormat="false" ht="15" hidden="false" customHeight="false" outlineLevel="0" collapsed="false">
      <c r="A10" s="17" t="s">
        <v>168</v>
      </c>
      <c r="B10" s="17" t="s">
        <v>169</v>
      </c>
      <c r="C10" s="18" t="s">
        <v>85</v>
      </c>
      <c r="D10" s="19"/>
      <c r="E10" s="19"/>
      <c r="F10" s="10" t="n">
        <f aca="false">D10*E10</f>
        <v>0</v>
      </c>
    </row>
    <row r="11" customFormat="false" ht="15" hidden="false" customHeight="false" outlineLevel="0" collapsed="false">
      <c r="A11" s="17" t="s">
        <v>170</v>
      </c>
      <c r="B11" s="17" t="s">
        <v>171</v>
      </c>
      <c r="C11" s="18" t="s">
        <v>80</v>
      </c>
      <c r="D11" s="19"/>
      <c r="E11" s="19"/>
      <c r="F11" s="10" t="n">
        <f aca="false">D11*E11</f>
        <v>0</v>
      </c>
    </row>
    <row r="12" customFormat="false" ht="15" hidden="false" customHeight="false" outlineLevel="0" collapsed="false">
      <c r="A12" s="17" t="s">
        <v>172</v>
      </c>
      <c r="B12" s="17" t="s">
        <v>173</v>
      </c>
      <c r="C12" s="18" t="s">
        <v>80</v>
      </c>
      <c r="D12" s="19"/>
      <c r="E12" s="19"/>
      <c r="F12" s="10" t="n">
        <f aca="false">D12*E12</f>
        <v>0</v>
      </c>
    </row>
    <row r="13" customFormat="false" ht="15" hidden="false" customHeight="false" outlineLevel="0" collapsed="false">
      <c r="A13" s="17" t="s">
        <v>174</v>
      </c>
      <c r="B13" s="17" t="s">
        <v>175</v>
      </c>
      <c r="C13" s="18" t="s">
        <v>80</v>
      </c>
      <c r="D13" s="19"/>
      <c r="E13" s="19"/>
      <c r="F13" s="10" t="n">
        <f aca="false">D13*E13</f>
        <v>0</v>
      </c>
    </row>
    <row r="14" customFormat="false" ht="15" hidden="false" customHeight="false" outlineLevel="0" collapsed="false">
      <c r="A14" s="17" t="s">
        <v>176</v>
      </c>
      <c r="B14" s="17" t="s">
        <v>177</v>
      </c>
      <c r="C14" s="18" t="s">
        <v>80</v>
      </c>
      <c r="D14" s="19"/>
      <c r="E14" s="19"/>
      <c r="F14" s="10" t="n">
        <f aca="false">D14*E14</f>
        <v>0</v>
      </c>
    </row>
    <row r="15" customFormat="false" ht="15" hidden="false" customHeight="false" outlineLevel="0" collapsed="false">
      <c r="A15" s="17" t="s">
        <v>178</v>
      </c>
      <c r="B15" s="17" t="s">
        <v>179</v>
      </c>
      <c r="C15" s="18" t="s">
        <v>80</v>
      </c>
      <c r="D15" s="19"/>
      <c r="E15" s="19"/>
      <c r="F15" s="10" t="n">
        <f aca="false">D15*E15</f>
        <v>0</v>
      </c>
    </row>
    <row r="16" customFormat="false" ht="15" hidden="false" customHeight="false" outlineLevel="0" collapsed="false">
      <c r="A16" s="6"/>
      <c r="B16" s="6"/>
      <c r="C16" s="6"/>
      <c r="D16" s="19"/>
      <c r="E16" s="19"/>
      <c r="F16" s="10" t="n">
        <f aca="false">D16*E16</f>
        <v>0</v>
      </c>
    </row>
    <row r="17" customFormat="false" ht="15" hidden="false" customHeight="false" outlineLevel="0" collapsed="false">
      <c r="A17" s="6"/>
      <c r="B17" s="6"/>
      <c r="C17" s="6"/>
      <c r="D17" s="19"/>
      <c r="E17" s="19"/>
      <c r="F17" s="10" t="n">
        <f aca="false">D17*E17</f>
        <v>0</v>
      </c>
    </row>
    <row r="18" customFormat="false" ht="15" hidden="false" customHeight="false" outlineLevel="0" collapsed="false">
      <c r="A18" s="6"/>
      <c r="B18" s="6"/>
      <c r="C18" s="6"/>
      <c r="D18" s="19"/>
      <c r="E18" s="19"/>
      <c r="F18" s="10" t="n">
        <f aca="false">D18*E18</f>
        <v>0</v>
      </c>
    </row>
    <row r="19" customFormat="false" ht="15" hidden="false" customHeight="false" outlineLevel="0" collapsed="false">
      <c r="A19" s="14"/>
      <c r="B19" s="20" t="s">
        <v>88</v>
      </c>
      <c r="C19" s="14"/>
      <c r="D19" s="14"/>
      <c r="E19" s="14"/>
      <c r="F19" s="21" t="n">
        <f aca="false">SUM(F6:F18)</f>
        <v>0</v>
      </c>
    </row>
  </sheetData>
  <dataValidations count="1">
    <dataValidation allowBlank="true" errorStyle="stop" operator="between" showDropDown="false" showErrorMessage="false" showInputMessage="false" sqref="C6:C18" type="list">
      <formula1>"m,m2,m3,kg,ton,no,nr,LS,item,day,hr,bag,set,sum"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18.5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5" t="s">
        <v>57</v>
      </c>
      <c r="B3" s="12" t="n">
        <f aca="false">Summary!B3</f>
        <v>0</v>
      </c>
    </row>
    <row r="5" customFormat="false" ht="25.5" hidden="false" customHeight="true" outlineLevel="0" collapsed="false">
      <c r="A5" s="7" t="s">
        <v>58</v>
      </c>
      <c r="B5" s="7" t="s">
        <v>26</v>
      </c>
      <c r="C5" s="7" t="s">
        <v>59</v>
      </c>
      <c r="D5" s="7" t="s">
        <v>60</v>
      </c>
      <c r="E5" s="7" t="s">
        <v>61</v>
      </c>
      <c r="F5" s="7" t="s">
        <v>28</v>
      </c>
    </row>
    <row r="6" customFormat="false" ht="15" hidden="false" customHeight="false" outlineLevel="0" collapsed="false">
      <c r="A6" s="17" t="s">
        <v>181</v>
      </c>
      <c r="B6" s="17" t="s">
        <v>182</v>
      </c>
      <c r="C6" s="18" t="s">
        <v>67</v>
      </c>
      <c r="D6" s="19"/>
      <c r="E6" s="19"/>
      <c r="F6" s="10" t="n">
        <f aca="false">D6*E6</f>
        <v>0</v>
      </c>
    </row>
    <row r="7" customFormat="false" ht="15" hidden="false" customHeight="false" outlineLevel="0" collapsed="false">
      <c r="A7" s="17" t="s">
        <v>183</v>
      </c>
      <c r="B7" s="17" t="s">
        <v>184</v>
      </c>
      <c r="C7" s="18" t="s">
        <v>67</v>
      </c>
      <c r="D7" s="19"/>
      <c r="E7" s="19"/>
      <c r="F7" s="10" t="n">
        <f aca="false">D7*E7</f>
        <v>0</v>
      </c>
    </row>
    <row r="8" customFormat="false" ht="15" hidden="false" customHeight="false" outlineLevel="0" collapsed="false">
      <c r="A8" s="17" t="s">
        <v>185</v>
      </c>
      <c r="B8" s="17" t="s">
        <v>186</v>
      </c>
      <c r="C8" s="18" t="s">
        <v>67</v>
      </c>
      <c r="D8" s="19"/>
      <c r="E8" s="19"/>
      <c r="F8" s="10" t="n">
        <f aca="false">D8*E8</f>
        <v>0</v>
      </c>
    </row>
    <row r="9" customFormat="false" ht="15" hidden="false" customHeight="false" outlineLevel="0" collapsed="false">
      <c r="A9" s="17" t="s">
        <v>187</v>
      </c>
      <c r="B9" s="17" t="s">
        <v>188</v>
      </c>
      <c r="C9" s="18" t="s">
        <v>80</v>
      </c>
      <c r="D9" s="19"/>
      <c r="E9" s="19"/>
      <c r="F9" s="10" t="n">
        <f aca="false">D9*E9</f>
        <v>0</v>
      </c>
    </row>
    <row r="10" customFormat="false" ht="15" hidden="false" customHeight="false" outlineLevel="0" collapsed="false">
      <c r="A10" s="17" t="s">
        <v>189</v>
      </c>
      <c r="B10" s="17" t="s">
        <v>190</v>
      </c>
      <c r="C10" s="18" t="s">
        <v>80</v>
      </c>
      <c r="D10" s="19"/>
      <c r="E10" s="19"/>
      <c r="F10" s="10" t="n">
        <f aca="false">D10*E10</f>
        <v>0</v>
      </c>
    </row>
    <row r="11" customFormat="false" ht="15" hidden="false" customHeight="false" outlineLevel="0" collapsed="false">
      <c r="A11" s="17" t="s">
        <v>191</v>
      </c>
      <c r="B11" s="17" t="s">
        <v>192</v>
      </c>
      <c r="C11" s="18" t="s">
        <v>80</v>
      </c>
      <c r="D11" s="19"/>
      <c r="E11" s="19"/>
      <c r="F11" s="10" t="n">
        <f aca="false">D11*E11</f>
        <v>0</v>
      </c>
    </row>
    <row r="12" customFormat="false" ht="15" hidden="false" customHeight="false" outlineLevel="0" collapsed="false">
      <c r="A12" s="17" t="s">
        <v>193</v>
      </c>
      <c r="B12" s="17" t="s">
        <v>194</v>
      </c>
      <c r="C12" s="18" t="s">
        <v>80</v>
      </c>
      <c r="D12" s="19"/>
      <c r="E12" s="19"/>
      <c r="F12" s="10" t="n">
        <f aca="false">D12*E12</f>
        <v>0</v>
      </c>
    </row>
    <row r="13" customFormat="false" ht="15" hidden="false" customHeight="false" outlineLevel="0" collapsed="false">
      <c r="A13" s="6"/>
      <c r="B13" s="6"/>
      <c r="C13" s="6"/>
      <c r="D13" s="19"/>
      <c r="E13" s="19"/>
      <c r="F13" s="10" t="n">
        <f aca="false">D13*E13</f>
        <v>0</v>
      </c>
    </row>
    <row r="14" customFormat="false" ht="15" hidden="false" customHeight="false" outlineLevel="0" collapsed="false">
      <c r="A14" s="6"/>
      <c r="B14" s="6"/>
      <c r="C14" s="6"/>
      <c r="D14" s="19"/>
      <c r="E14" s="19"/>
      <c r="F14" s="10" t="n">
        <f aca="false">D14*E14</f>
        <v>0</v>
      </c>
    </row>
    <row r="15" customFormat="false" ht="15" hidden="false" customHeight="false" outlineLevel="0" collapsed="false">
      <c r="A15" s="6"/>
      <c r="B15" s="6"/>
      <c r="C15" s="6"/>
      <c r="D15" s="19"/>
      <c r="E15" s="19"/>
      <c r="F15" s="10" t="n">
        <f aca="false">D15*E15</f>
        <v>0</v>
      </c>
    </row>
    <row r="16" customFormat="false" ht="15" hidden="false" customHeight="false" outlineLevel="0" collapsed="false">
      <c r="A16" s="14"/>
      <c r="B16" s="20" t="s">
        <v>88</v>
      </c>
      <c r="C16" s="14"/>
      <c r="D16" s="14"/>
      <c r="E16" s="14"/>
      <c r="F16" s="21" t="n">
        <f aca="false">SUM(F6:F15)</f>
        <v>0</v>
      </c>
    </row>
  </sheetData>
  <dataValidations count="1">
    <dataValidation allowBlank="true" errorStyle="stop" operator="between" showDropDown="false" showErrorMessage="false" showInputMessage="false" sqref="C6:C15" type="list">
      <formula1>"m,m2,m3,kg,ton,no,nr,LS,item,day,hr,bag,set,sum"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18.5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5" t="s">
        <v>57</v>
      </c>
      <c r="B3" s="12" t="n">
        <f aca="false">Summary!B3</f>
        <v>0</v>
      </c>
    </row>
    <row r="5" customFormat="false" ht="25.5" hidden="false" customHeight="true" outlineLevel="0" collapsed="false">
      <c r="A5" s="7" t="s">
        <v>58</v>
      </c>
      <c r="B5" s="7" t="s">
        <v>26</v>
      </c>
      <c r="C5" s="7" t="s">
        <v>59</v>
      </c>
      <c r="D5" s="7" t="s">
        <v>60</v>
      </c>
      <c r="E5" s="7" t="s">
        <v>61</v>
      </c>
      <c r="F5" s="7" t="s">
        <v>28</v>
      </c>
    </row>
    <row r="6" customFormat="false" ht="15" hidden="false" customHeight="false" outlineLevel="0" collapsed="false">
      <c r="A6" s="17" t="s">
        <v>196</v>
      </c>
      <c r="B6" s="17" t="s">
        <v>197</v>
      </c>
      <c r="C6" s="18" t="s">
        <v>64</v>
      </c>
      <c r="D6" s="19"/>
      <c r="E6" s="19"/>
      <c r="F6" s="10" t="n">
        <f aca="false">D6*E6</f>
        <v>0</v>
      </c>
    </row>
    <row r="7" customFormat="false" ht="15" hidden="false" customHeight="false" outlineLevel="0" collapsed="false">
      <c r="A7" s="17" t="s">
        <v>198</v>
      </c>
      <c r="B7" s="17" t="s">
        <v>199</v>
      </c>
      <c r="C7" s="18" t="s">
        <v>64</v>
      </c>
      <c r="D7" s="19"/>
      <c r="E7" s="19"/>
      <c r="F7" s="10" t="n">
        <f aca="false">D7*E7</f>
        <v>0</v>
      </c>
    </row>
    <row r="8" customFormat="false" ht="15" hidden="false" customHeight="false" outlineLevel="0" collapsed="false">
      <c r="A8" s="17" t="s">
        <v>200</v>
      </c>
      <c r="B8" s="17" t="s">
        <v>201</v>
      </c>
      <c r="C8" s="18" t="s">
        <v>64</v>
      </c>
      <c r="D8" s="19"/>
      <c r="E8" s="19"/>
      <c r="F8" s="10" t="n">
        <f aca="false">D8*E8</f>
        <v>0</v>
      </c>
    </row>
    <row r="9" customFormat="false" ht="15" hidden="false" customHeight="false" outlineLevel="0" collapsed="false">
      <c r="A9" s="17" t="s">
        <v>202</v>
      </c>
      <c r="B9" s="17" t="s">
        <v>203</v>
      </c>
      <c r="C9" s="18" t="s">
        <v>64</v>
      </c>
      <c r="D9" s="19"/>
      <c r="E9" s="19"/>
      <c r="F9" s="10" t="n">
        <f aca="false">D9*E9</f>
        <v>0</v>
      </c>
    </row>
    <row r="10" customFormat="false" ht="15" hidden="false" customHeight="false" outlineLevel="0" collapsed="false">
      <c r="A10" s="17" t="s">
        <v>204</v>
      </c>
      <c r="B10" s="17" t="s">
        <v>205</v>
      </c>
      <c r="C10" s="18" t="s">
        <v>64</v>
      </c>
      <c r="D10" s="19"/>
      <c r="E10" s="19"/>
      <c r="F10" s="10" t="n">
        <f aca="false">D10*E10</f>
        <v>0</v>
      </c>
    </row>
    <row r="11" customFormat="false" ht="15" hidden="false" customHeight="false" outlineLevel="0" collapsed="false">
      <c r="A11" s="17" t="s">
        <v>206</v>
      </c>
      <c r="B11" s="17" t="s">
        <v>207</v>
      </c>
      <c r="C11" s="18" t="s">
        <v>64</v>
      </c>
      <c r="D11" s="19"/>
      <c r="E11" s="19"/>
      <c r="F11" s="10" t="n">
        <f aca="false">D11*E11</f>
        <v>0</v>
      </c>
    </row>
    <row r="12" customFormat="false" ht="15" hidden="false" customHeight="false" outlineLevel="0" collapsed="false">
      <c r="A12" s="17" t="s">
        <v>208</v>
      </c>
      <c r="B12" s="17" t="s">
        <v>209</v>
      </c>
      <c r="C12" s="18" t="s">
        <v>64</v>
      </c>
      <c r="D12" s="19"/>
      <c r="E12" s="19"/>
      <c r="F12" s="10" t="n">
        <f aca="false">D12*E12</f>
        <v>0</v>
      </c>
    </row>
    <row r="13" customFormat="false" ht="15" hidden="false" customHeight="false" outlineLevel="0" collapsed="false">
      <c r="A13" s="17" t="s">
        <v>210</v>
      </c>
      <c r="B13" s="17" t="s">
        <v>211</v>
      </c>
      <c r="C13" s="18" t="s">
        <v>64</v>
      </c>
      <c r="D13" s="19"/>
      <c r="E13" s="19"/>
      <c r="F13" s="10" t="n">
        <f aca="false">D13*E13</f>
        <v>0</v>
      </c>
    </row>
    <row r="14" customFormat="false" ht="15" hidden="false" customHeight="false" outlineLevel="0" collapsed="false">
      <c r="A14" s="6"/>
      <c r="B14" s="6"/>
      <c r="C14" s="6"/>
      <c r="D14" s="19"/>
      <c r="E14" s="19"/>
      <c r="F14" s="10" t="n">
        <f aca="false">D14*E14</f>
        <v>0</v>
      </c>
    </row>
    <row r="15" customFormat="false" ht="15" hidden="false" customHeight="false" outlineLevel="0" collapsed="false">
      <c r="A15" s="6"/>
      <c r="B15" s="6"/>
      <c r="C15" s="6"/>
      <c r="D15" s="19"/>
      <c r="E15" s="19"/>
      <c r="F15" s="10" t="n">
        <f aca="false">D15*E15</f>
        <v>0</v>
      </c>
    </row>
    <row r="16" customFormat="false" ht="15" hidden="false" customHeight="false" outlineLevel="0" collapsed="false">
      <c r="A16" s="6"/>
      <c r="B16" s="6"/>
      <c r="C16" s="6"/>
      <c r="D16" s="19"/>
      <c r="E16" s="19"/>
      <c r="F16" s="10" t="n">
        <f aca="false">D16*E16</f>
        <v>0</v>
      </c>
    </row>
    <row r="17" customFormat="false" ht="15" hidden="false" customHeight="false" outlineLevel="0" collapsed="false">
      <c r="A17" s="14"/>
      <c r="B17" s="20" t="s">
        <v>88</v>
      </c>
      <c r="C17" s="14"/>
      <c r="D17" s="14"/>
      <c r="E17" s="14"/>
      <c r="F17" s="21" t="n">
        <f aca="false">SUM(F6:F16)</f>
        <v>0</v>
      </c>
    </row>
  </sheetData>
  <dataValidations count="1">
    <dataValidation allowBlank="true" errorStyle="stop" operator="between" showDropDown="false" showErrorMessage="false" showInputMessage="false" sqref="C6:C16" type="list">
      <formula1>"m,m2,m3,kg,ton,no,nr,LS,item,day,hr,bag,set,sum"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2026-10-17T14:40:58Z</dcterms:created>
  <dc:creator>openpyxl</dc:creator>
  <dc:description/>
  <dc:language>en-US</dc:language>
  <cp:lastModifiedBy/>
  <dcterms:modified xsi:type="dcterms:W3CDTF">2026-10-17T14:40:58Z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